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  <sheet state="visible" name="Foglio2" sheetId="2" r:id="rId6"/>
  </sheets>
  <definedNames>
    <definedName hidden="1" localSheetId="0" name="_xlnm._FilterDatabase">Foglio1!$A$1:$Z$104</definedName>
    <definedName hidden="1" localSheetId="1" name="_xlnm._FilterDatabase">Foglio2!$B$2:$U$95</definedName>
  </definedNames>
  <calcPr/>
</workbook>
</file>

<file path=xl/sharedStrings.xml><?xml version="1.0" encoding="utf-8"?>
<sst xmlns="http://schemas.openxmlformats.org/spreadsheetml/2006/main" count="1690" uniqueCount="193">
  <si>
    <t>Data</t>
  </si>
  <si>
    <t>Tesserato</t>
  </si>
  <si>
    <t>Numero tessera</t>
  </si>
  <si>
    <t>Gara</t>
  </si>
  <si>
    <t>Tipo Risultato</t>
  </si>
  <si>
    <t>Motivazione variazione</t>
  </si>
  <si>
    <t>Esecutore</t>
  </si>
  <si>
    <t>Giro</t>
  </si>
  <si>
    <t>Formula</t>
  </si>
  <si>
    <t>Buche</t>
  </si>
  <si>
    <t>Valida</t>
  </si>
  <si>
    <t>Playing HCP</t>
  </si>
  <si>
    <t>Par</t>
  </si>
  <si>
    <t>CR</t>
  </si>
  <si>
    <t>SR</t>
  </si>
  <si>
    <t>Stbl</t>
  </si>
  <si>
    <t>AGS</t>
  </si>
  <si>
    <t>PCC</t>
  </si>
  <si>
    <t>SD</t>
  </si>
  <si>
    <t>Corr SD</t>
  </si>
  <si>
    <t>Corr</t>
  </si>
  <si>
    <t>Index Vecchio</t>
  </si>
  <si>
    <t>Index Nuovo</t>
  </si>
  <si>
    <t>Variazione</t>
  </si>
  <si>
    <t>Tipo Giocatore Nuovo</t>
  </si>
  <si>
    <t>Descrizione</t>
  </si>
  <si>
    <t>Processo 2</t>
  </si>
  <si>
    <t>TASSI, CARLO - Risultati gara</t>
  </si>
  <si>
    <t>SUNDAY CUP</t>
  </si>
  <si>
    <t>Risultati gara</t>
  </si>
  <si>
    <t>TASSI, CARLO</t>
  </si>
  <si>
    <t>MONTEVEGLIO ASD</t>
  </si>
  <si>
    <t>Alce Nero Cup 2026</t>
  </si>
  <si>
    <t>SPS</t>
  </si>
  <si>
    <t>V</t>
  </si>
  <si>
    <t>31.7</t>
  </si>
  <si>
    <t>b8</t>
  </si>
  <si>
    <t>0.0</t>
  </si>
  <si>
    <t>10.2</t>
  </si>
  <si>
    <t>10.0</t>
  </si>
  <si>
    <t>-0.2</t>
  </si>
  <si>
    <t>MONTEVEGLIO RACE TO SPAIN (GARA 9/10)</t>
  </si>
  <si>
    <t>L2S</t>
  </si>
  <si>
    <t>N</t>
  </si>
  <si>
    <t>63.4</t>
  </si>
  <si>
    <t>NR</t>
  </si>
  <si>
    <t>Gara di Fine Anno</t>
  </si>
  <si>
    <t>MONTEVEGLIO RACE TO SPAIN (GARA 7/10)</t>
  </si>
  <si>
    <t>Sunday Cup By Caseificio Bazzanese</t>
  </si>
  <si>
    <t>BUSINESS ANGELS GOLF - 9Stb - hcp - 2cat</t>
  </si>
  <si>
    <t>BERGAMO ALBENZA</t>
  </si>
  <si>
    <t>36.0</t>
  </si>
  <si>
    <t>Alce Nero Cup 2025</t>
  </si>
  <si>
    <t>Invitational Business Angels Golf Ass.</t>
  </si>
  <si>
    <t>MONTICELLO</t>
  </si>
  <si>
    <t>72.1</t>
  </si>
  <si>
    <t>LOUISIANA CIRCUITO UISP</t>
  </si>
  <si>
    <t>Sunday Cup 2025</t>
  </si>
  <si>
    <t>TROFEO DI PASQUETTA</t>
  </si>
  <si>
    <t>RIT</t>
  </si>
  <si>
    <t>TecnoFreight Golf Challenge</t>
  </si>
  <si>
    <t>MONEY LIST 2026 (GARA 1/10)</t>
  </si>
  <si>
    <t>S</t>
  </si>
  <si>
    <t>INVITATIONAL BAGA</t>
  </si>
  <si>
    <t>VARESE</t>
  </si>
  <si>
    <t>71.2</t>
  </si>
  <si>
    <t>SQ</t>
  </si>
  <si>
    <t>30° Anniversario Onluc CucciolO</t>
  </si>
  <si>
    <t>RACE TO SPAIN Gara 2 di 6</t>
  </si>
  <si>
    <t>2° Trofeo Baldi Fabrizio</t>
  </si>
  <si>
    <t>L4S</t>
  </si>
  <si>
    <t>LOUSIANA DELLA BOTTE</t>
  </si>
  <si>
    <t>Sunday Cup</t>
  </si>
  <si>
    <t>Tecnofreight Golf Challenge</t>
  </si>
  <si>
    <t>TROFEO AMICI DELL'HOSPICE BY STEFANELLI</t>
  </si>
  <si>
    <t>BOLOGNA</t>
  </si>
  <si>
    <t>4PS</t>
  </si>
  <si>
    <t>71.7</t>
  </si>
  <si>
    <t>TECNOFREIGHT GOLF CHALLENGE</t>
  </si>
  <si>
    <t>OCEAN'S CUP 2025</t>
  </si>
  <si>
    <t>FONTI</t>
  </si>
  <si>
    <t>71.4</t>
  </si>
  <si>
    <t>TASSI, CARLO - Risultati gara / General Play</t>
  </si>
  <si>
    <t>Sunday Cup 2025 By Trattoria Elisa</t>
  </si>
  <si>
    <t>LOUISIANA DEL MONOPOLY PT.II</t>
  </si>
  <si>
    <t>WINTER CUP 2025</t>
  </si>
  <si>
    <t>Spumante Cup By Enostore</t>
  </si>
  <si>
    <t>GENERAL PLAY</t>
  </si>
  <si>
    <t>11.0</t>
  </si>
  <si>
    <t>-0.8</t>
  </si>
  <si>
    <t>America's Cup 2024 of Monteveglio</t>
  </si>
  <si>
    <t>Caseifcio Valsamoggia Trophy</t>
  </si>
  <si>
    <t>2° Campionato Sociale Louisiana 2024</t>
  </si>
  <si>
    <t>11.7</t>
  </si>
  <si>
    <t>Wine Cup 2024</t>
  </si>
  <si>
    <t>-0.7</t>
  </si>
  <si>
    <t>Wine Cup Bellavista Race by ENOSTORE</t>
  </si>
  <si>
    <t>Saturday Cup By Trattoria Elisa</t>
  </si>
  <si>
    <t>Sunday Cup by Caseificio Valsamoggia</t>
  </si>
  <si>
    <t>Business Angels Golf Association</t>
  </si>
  <si>
    <t>1° Trofeo Fabrizio Baldi</t>
  </si>
  <si>
    <t>L3S</t>
  </si>
  <si>
    <t>VI Trofeo GALVANICA NOBILI</t>
  </si>
  <si>
    <t>MONTEVEGLIO PEPPER CUP 2024</t>
  </si>
  <si>
    <t>4PLM AGIS</t>
  </si>
  <si>
    <t>CLUB MED TROPHY 2024 Road to Marbella</t>
  </si>
  <si>
    <t>CLUBFITTING SRL 3° TAPPA</t>
  </si>
  <si>
    <t>11.8</t>
  </si>
  <si>
    <t>-0.1</t>
  </si>
  <si>
    <t>I PROSCIUTTI GIUSTI 2024</t>
  </si>
  <si>
    <t>11.4</t>
  </si>
  <si>
    <t>0.4</t>
  </si>
  <si>
    <t>XVIII TROFEO GREENSOME 2024</t>
  </si>
  <si>
    <t>GSS</t>
  </si>
  <si>
    <t>Footgolf Hero Golf Challenge</t>
  </si>
  <si>
    <t>SUNDAY CUP 2024</t>
  </si>
  <si>
    <t>Louisiana Del Monopoly</t>
  </si>
  <si>
    <t>MONTEVEGLIO_NA</t>
  </si>
  <si>
    <t>SUNDAY CUP By Caseificio Valsamoggia</t>
  </si>
  <si>
    <t>Lousiana Degli Auguri</t>
  </si>
  <si>
    <t>America's Cup 2023 of Monteveglio</t>
  </si>
  <si>
    <t>SUNDAY CUP BY Caseificio Valsamoggia</t>
  </si>
  <si>
    <t>INVITATIONAL BAGA BUSINESS ANGELS G.A.</t>
  </si>
  <si>
    <t>CASTELLO TOLCINASCO_NA</t>
  </si>
  <si>
    <t>71.1</t>
  </si>
  <si>
    <t>TRATTORIA ELISA GOLF CUP</t>
  </si>
  <si>
    <t>9 &amp; DINE BY BAGA</t>
  </si>
  <si>
    <t>VIGEVANO SSD_NA</t>
  </si>
  <si>
    <t>35.8</t>
  </si>
  <si>
    <t>Caseificio Valsamoggia</t>
  </si>
  <si>
    <t>V Trofeo Galvanica Nobili</t>
  </si>
  <si>
    <t>11.2</t>
  </si>
  <si>
    <t>0.2</t>
  </si>
  <si>
    <t>11.1</t>
  </si>
  <si>
    <t>0.1</t>
  </si>
  <si>
    <t>9 AND DINE BY BAGA</t>
  </si>
  <si>
    <t>DUCATO</t>
  </si>
  <si>
    <t>37.2</t>
  </si>
  <si>
    <t>Louisiana Race to FAIRMONT MARRAKECH</t>
  </si>
  <si>
    <t>QUALIFICHE TROFEO GREENSOME 2023</t>
  </si>
  <si>
    <t>LOUISIANA GOLF CUP</t>
  </si>
  <si>
    <t>LOUISIANA DELL'EPIFANIA</t>
  </si>
  <si>
    <t>TICKET TO PARADISE</t>
  </si>
  <si>
    <t>GRILL TROPHY</t>
  </si>
  <si>
    <t>BEER CUP</t>
  </si>
  <si>
    <t>Louisiana D'estate</t>
  </si>
  <si>
    <t>Macelleria Tiziano&amp;Paolo</t>
  </si>
  <si>
    <t>Trattoria Elisa Trophy</t>
  </si>
  <si>
    <t>Invitational Business Angels Golf Associ</t>
  </si>
  <si>
    <t>-0.6</t>
  </si>
  <si>
    <t>Louisiana ABU-DHABI By Arte&amp;Golf</t>
  </si>
  <si>
    <t>PEPPER CUP 2022</t>
  </si>
  <si>
    <t>MULINO BRAGLIA CUP</t>
  </si>
  <si>
    <t>Trattoria Elisa Cup</t>
  </si>
  <si>
    <t>ABU-DHABI Challenge</t>
  </si>
  <si>
    <t>11.9</t>
  </si>
  <si>
    <t>LOUISIANA del CASEIFICIO VALSAMOGGIA</t>
  </si>
  <si>
    <t>Tiziano &amp; Paolo 4PLM</t>
  </si>
  <si>
    <t>Louisiana S.C. SERVIZI SRL</t>
  </si>
  <si>
    <t>Sunday Cup PARMIGIANO REGGIANO</t>
  </si>
  <si>
    <t>Louisiana del Caseificio Valsamoggia</t>
  </si>
  <si>
    <t>Spumante Trophy 2021</t>
  </si>
  <si>
    <t>First Reverso Cup by FACE-OFF</t>
  </si>
  <si>
    <t>2° Trofeo Louisiana ONLUS CUCCIOLO</t>
  </si>
  <si>
    <t>TROFEO GOLF-ING CLASSIC</t>
  </si>
  <si>
    <t>70.9</t>
  </si>
  <si>
    <t>CASEIFICIO BAZZANESE</t>
  </si>
  <si>
    <t>III TROFEO GALVANICA NOBILI</t>
  </si>
  <si>
    <t>LOUISIANA DELLA MACELLERIA</t>
  </si>
  <si>
    <t>MULINO BRAGLIA</t>
  </si>
  <si>
    <t>GOLF &amp; WINE CUP</t>
  </si>
  <si>
    <t>12.2</t>
  </si>
  <si>
    <t>-0.3</t>
  </si>
  <si>
    <t>CASEIFICIO VALSAMOGGIA CUP</t>
  </si>
  <si>
    <t>VIGnola Fruit srl</t>
  </si>
  <si>
    <t>ABU DHABI By Arte &amp; Golf</t>
  </si>
  <si>
    <t>Dubai Golf Player Tour By ARTE&amp;GOLF</t>
  </si>
  <si>
    <t>VI TROFEO ONLUS CUCCIOLO 1°Giornata</t>
  </si>
  <si>
    <t>GENERAL PLAY SUNDAY</t>
  </si>
  <si>
    <t>12.5</t>
  </si>
  <si>
    <t>PALLINATA MACELLERIA DA TIZIANO E PAOLO</t>
  </si>
  <si>
    <t>Pallinata ONLUS CUCCIOLO</t>
  </si>
  <si>
    <t>Mulino Braglia Cup 4PLM</t>
  </si>
  <si>
    <t>13.7</t>
  </si>
  <si>
    <t>CASEIFICIO VALSAMOGGIA</t>
  </si>
  <si>
    <t>14.3</t>
  </si>
  <si>
    <t>XII COPPA DELLA PRESIDENZA</t>
  </si>
  <si>
    <t>14.2</t>
  </si>
  <si>
    <t>Vilnius Race By Arte &amp; Golf</t>
  </si>
  <si>
    <t>14.1</t>
  </si>
  <si>
    <t>TRATTORIA DAI MUGNAI</t>
  </si>
  <si>
    <t>GRILL CUP</t>
  </si>
  <si>
    <t>Louisiana della Valsamoggia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</si>
</sst>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"/>
    <numFmt numFmtId="166" formatCode="d/m/yyyy"/>
  </numFmts>
  <fonts count="20">
    <font>
      <sz val="10.0"/>
      <color rgb="FF000000"/>
      <name val="Arial"/>
      <scheme val="minor"/>
    </font>
    <font>
      <b/>
      <sz val="9.0"/>
      <color rgb="FF000000"/>
      <name val="-apple-system"/>
    </font>
    <font>
      <b/>
      <sz val="9.0"/>
      <color rgb="FFFFFFFF"/>
      <name val="Arial"/>
      <scheme val="minor"/>
    </font>
    <font>
      <sz val="9.0"/>
      <color theme="1"/>
      <name val="Arial"/>
      <scheme val="minor"/>
    </font>
    <font>
      <b/>
      <sz val="9.0"/>
      <color rgb="FF000000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</font>
    <font>
      <u/>
      <sz val="9.0"/>
      <color rgb="FF0000FF"/>
      <name val="-apple-system"/>
    </font>
    <font>
      <u/>
      <sz val="9.0"/>
      <color rgb="FF0000FF"/>
    </font>
    <font>
      <sz val="9.0"/>
      <color rgb="FF212529"/>
      <name val="-apple-system"/>
    </font>
    <font>
      <b/>
      <sz val="9.0"/>
      <color rgb="FF212529"/>
      <name val="-apple-system"/>
    </font>
    <font>
      <b/>
      <sz val="9.0"/>
      <color rgb="FF212529"/>
      <name val="Arial"/>
    </font>
    <font>
      <sz val="9.0"/>
      <color rgb="FF212529"/>
      <name val="Arial"/>
    </font>
    <font>
      <sz val="9.0"/>
      <color theme="1"/>
      <name val="-apple-system"/>
    </font>
    <font>
      <u/>
      <sz val="9.0"/>
      <color rgb="FF0000FF"/>
    </font>
    <font>
      <u/>
      <sz val="9.0"/>
      <color rgb="FF0000FF"/>
      <name val="-apple-system"/>
    </font>
    <font>
      <sz val="9.0"/>
      <color rgb="FF000000"/>
      <name val="-apple-system"/>
    </font>
    <font>
      <color theme="1"/>
      <name val="Arial"/>
      <scheme val="minor"/>
    </font>
    <font>
      <strike/>
      <sz val="9.0"/>
      <color rgb="FFFF0000"/>
      <name val="Arial"/>
      <scheme val="minor"/>
    </font>
    <font>
      <b/>
      <strike/>
      <sz val="9.0"/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7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999999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99999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3" numFmtId="164" xfId="0" applyAlignment="1" applyFont="1" applyNumberForma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horizontal="center" readingOrder="0" shrinkToFit="0" wrapText="0"/>
    </xf>
    <xf borderId="1" fillId="2" fontId="4" numFmtId="0" xfId="0" applyAlignment="1" applyBorder="1" applyFill="1" applyFont="1">
      <alignment horizontal="center" readingOrder="0" shrinkToFit="0" wrapText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horizontal="center" shrinkToFit="0" wrapText="0"/>
    </xf>
    <xf borderId="1" fillId="0" fontId="5" numFmtId="0" xfId="0" applyAlignment="1" applyBorder="1" applyFont="1">
      <alignment horizontal="center" readingOrder="0" shrinkToFit="0" wrapText="0"/>
    </xf>
    <xf borderId="0" fillId="2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wrapText="0"/>
    </xf>
    <xf borderId="0" fillId="0" fontId="7" numFmtId="164" xfId="0" applyAlignment="1" applyFont="1" applyNumberFormat="1">
      <alignment horizontal="left" readingOrder="0" shrinkToFit="0" wrapText="0"/>
    </xf>
    <xf borderId="0" fillId="0" fontId="8" numFmtId="164" xfId="0" applyAlignment="1" applyFont="1" applyNumberFormat="1">
      <alignment readingOrder="0" shrinkToFit="0" wrapText="0"/>
    </xf>
    <xf borderId="0" fillId="0" fontId="9" numFmtId="0" xfId="0" applyAlignment="1" applyFont="1">
      <alignment horizontal="left" readingOrder="0" shrinkToFit="0" wrapText="0"/>
    </xf>
    <xf borderId="0" fillId="0" fontId="9" numFmtId="0" xfId="0" applyAlignment="1" applyFont="1">
      <alignment horizontal="left" shrinkToFit="0" wrapText="0"/>
    </xf>
    <xf borderId="0" fillId="0" fontId="9" numFmtId="0" xfId="0" applyAlignment="1" applyFont="1">
      <alignment horizontal="center" readingOrder="0" shrinkToFit="0" wrapText="0"/>
    </xf>
    <xf borderId="0" fillId="0" fontId="10" numFmtId="0" xfId="0" applyAlignment="1" applyFont="1">
      <alignment horizontal="center" readingOrder="0" shrinkToFit="0" wrapText="0"/>
    </xf>
    <xf borderId="0" fillId="0" fontId="9" numFmtId="0" xfId="0" applyAlignment="1" applyFont="1">
      <alignment horizontal="center" shrinkToFit="0" wrapText="0"/>
    </xf>
    <xf borderId="2" fillId="0" fontId="11" numFmtId="0" xfId="0" applyAlignment="1" applyBorder="1" applyFont="1">
      <alignment horizontal="center" readingOrder="0" shrinkToFit="0" wrapText="0"/>
    </xf>
    <xf borderId="0" fillId="0" fontId="12" numFmtId="0" xfId="0" applyAlignment="1" applyFont="1">
      <alignment horizontal="center" readingOrder="0" shrinkToFit="0" wrapText="0"/>
    </xf>
    <xf borderId="0" fillId="0" fontId="13" numFmtId="164" xfId="0" applyAlignment="1" applyFont="1" applyNumberFormat="1">
      <alignment horizontal="left" readingOrder="0" shrinkToFit="0" wrapText="0"/>
    </xf>
    <xf borderId="0" fillId="0" fontId="14" numFmtId="166" xfId="0" applyAlignment="1" applyFont="1" applyNumberFormat="1">
      <alignment readingOrder="0" shrinkToFit="0" wrapText="0"/>
    </xf>
    <xf borderId="3" fillId="0" fontId="9" numFmtId="0" xfId="0" applyAlignment="1" applyBorder="1" applyFont="1">
      <alignment horizontal="center" shrinkToFit="0" wrapText="0"/>
    </xf>
    <xf borderId="4" fillId="0" fontId="10" numFmtId="0" xfId="0" applyAlignment="1" applyBorder="1" applyFont="1">
      <alignment horizontal="center" readingOrder="0" shrinkToFit="0" wrapText="0"/>
    </xf>
    <xf borderId="5" fillId="0" fontId="10" numFmtId="0" xfId="0" applyAlignment="1" applyBorder="1" applyFont="1">
      <alignment horizontal="center" readingOrder="0" shrinkToFit="0" wrapText="0"/>
    </xf>
    <xf borderId="0" fillId="0" fontId="13" numFmtId="166" xfId="0" applyAlignment="1" applyFont="1" applyNumberFormat="1">
      <alignment horizontal="left" readingOrder="0" shrinkToFit="0" wrapText="0"/>
    </xf>
    <xf borderId="0" fillId="0" fontId="15" numFmtId="166" xfId="0" applyAlignment="1" applyFont="1" applyNumberFormat="1">
      <alignment horizontal="left" readingOrder="0" shrinkToFit="0" wrapText="0"/>
    </xf>
    <xf borderId="6" fillId="0" fontId="10" numFmtId="0" xfId="0" applyAlignment="1" applyBorder="1" applyFont="1">
      <alignment horizontal="center" readingOrder="0" shrinkToFit="0" wrapText="0"/>
    </xf>
    <xf borderId="2" fillId="0" fontId="10" numFmtId="0" xfId="0" applyAlignment="1" applyBorder="1" applyFont="1">
      <alignment horizontal="center" readingOrder="0" shrinkToFit="0" wrapText="0"/>
    </xf>
    <xf borderId="0" fillId="0" fontId="16" numFmtId="0" xfId="0" applyAlignment="1" applyFont="1">
      <alignment horizontal="center"/>
    </xf>
    <xf borderId="0" fillId="0" fontId="16" numFmtId="0" xfId="0" applyFont="1"/>
    <xf borderId="0" fillId="0" fontId="17" numFmtId="0" xfId="0" applyAlignment="1" applyFont="1">
      <alignment horizontal="center"/>
    </xf>
    <xf borderId="0" fillId="0" fontId="18" numFmtId="0" xfId="0" applyAlignment="1" applyFont="1">
      <alignment horizontal="center" readingOrder="0" shrinkToFit="0" wrapText="0"/>
    </xf>
    <xf borderId="1" fillId="0" fontId="19" numFmtId="0" xfId="0" applyAlignment="1" applyBorder="1" applyFont="1">
      <alignment horizontal="center" readingOrder="0" shrinkToFit="0" wrapText="0"/>
    </xf>
    <xf borderId="1" fillId="0" fontId="5" numFmtId="165" xfId="0" applyAlignment="1" applyBorder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reariservata.federgolf.it/Risultati/ViewDetail/b5b94eea-22d3-ee11-9079-6045bd8f124f" TargetMode="External"/><Relationship Id="rId42" Type="http://schemas.openxmlformats.org/officeDocument/2006/relationships/hyperlink" Target="https://areariservata.federgolf.it/Risultati/ViewDetail/2a63eceb-9ec2-ee11-9079-0022488aa2bc" TargetMode="External"/><Relationship Id="rId41" Type="http://schemas.openxmlformats.org/officeDocument/2006/relationships/hyperlink" Target="https://areariservata.federgolf.it/Risultati/ViewDetail/3f78abc6-eec8-ee11-9079-000d3a2e48af" TargetMode="External"/><Relationship Id="rId44" Type="http://schemas.openxmlformats.org/officeDocument/2006/relationships/hyperlink" Target="https://areariservata.federgolf.it/Risultati/ViewDetail/874b0da7-e1a7-ee11-be37-000d3a2e49e0" TargetMode="External"/><Relationship Id="rId43" Type="http://schemas.openxmlformats.org/officeDocument/2006/relationships/hyperlink" Target="https://areariservata.federgolf.it/Risultati/ViewDetail/aa396fed-64b8-ee11-a569-000d3a2e48d4" TargetMode="External"/><Relationship Id="rId46" Type="http://schemas.openxmlformats.org/officeDocument/2006/relationships/hyperlink" Target="https://areariservata.federgolf.it/Risultati/ViewDetail/42b02ee4-e15a-ee11-be6e-000d3a2e46dd" TargetMode="External"/><Relationship Id="rId45" Type="http://schemas.openxmlformats.org/officeDocument/2006/relationships/hyperlink" Target="https://areariservata.federgolf.it/Risultati/ViewDetail/ca2d277b-2e9c-ee11-be37-6045bd8800ef" TargetMode="External"/><Relationship Id="rId48" Type="http://schemas.openxmlformats.org/officeDocument/2006/relationships/hyperlink" Target="https://areariservata.federgolf.it/Risultati/ViewDetail/f33103c6-4f34-ee11-bdf4-000d3a2e49e0" TargetMode="External"/><Relationship Id="rId47" Type="http://schemas.openxmlformats.org/officeDocument/2006/relationships/hyperlink" Target="https://areariservata.federgolf.it/Risultati/ViewDetail/0847ed34-d657-ee11-be6e-6045bd8f124f" TargetMode="External"/><Relationship Id="rId49" Type="http://schemas.openxmlformats.org/officeDocument/2006/relationships/hyperlink" Target="https://areariservata.federgolf.it/Risultati/ViewDetail/aec2b3aa-1811-ee11-8f6d-000d3a2e48af" TargetMode="External"/><Relationship Id="rId101" Type="http://schemas.openxmlformats.org/officeDocument/2006/relationships/drawing" Target="../drawings/drawing1.xml"/><Relationship Id="rId100" Type="http://schemas.openxmlformats.org/officeDocument/2006/relationships/hyperlink" Target="https://areariservata.federgolf.it/Risultati/ViewDetail/7a966807-95fd-43b7-be7a-784dfe4d7cfb" TargetMode="External"/><Relationship Id="rId31" Type="http://schemas.openxmlformats.org/officeDocument/2006/relationships/hyperlink" Target="https://areariservata.federgolf.it/Risultati/ViewDetail/5c69f20b-5c23-ef11-840a-000d3a294ba7" TargetMode="External"/><Relationship Id="rId30" Type="http://schemas.openxmlformats.org/officeDocument/2006/relationships/hyperlink" Target="https://areariservata.federgolf.it/Risultati/ViewDetail/a2c52f1c-773c-ef11-8409-000d3a203ee0" TargetMode="External"/><Relationship Id="rId33" Type="http://schemas.openxmlformats.org/officeDocument/2006/relationships/hyperlink" Target="https://areariservata.federgolf.it/Risultati/ViewDetail/2f3c2a5d-b01a-ef11-840b-000d3a2e46dd" TargetMode="External"/><Relationship Id="rId32" Type="http://schemas.openxmlformats.org/officeDocument/2006/relationships/hyperlink" Target="https://areariservata.federgolf.it/Risultati/ViewDetail/b689d197-9d20-ef11-840a-7c1e5211833f" TargetMode="External"/><Relationship Id="rId35" Type="http://schemas.openxmlformats.org/officeDocument/2006/relationships/hyperlink" Target="https://areariservata.federgolf.it/Risultati/ViewDetail/6bfdfa49-aa08-ef11-9f8a-000d3a2e46dd" TargetMode="External"/><Relationship Id="rId34" Type="http://schemas.openxmlformats.org/officeDocument/2006/relationships/hyperlink" Target="https://areariservata.federgolf.it/Risultati/ViewDetail/4806c640-ba0f-ef11-9f89-6045bd8856a1" TargetMode="External"/><Relationship Id="rId37" Type="http://schemas.openxmlformats.org/officeDocument/2006/relationships/hyperlink" Target="https://areariservata.federgolf.it/Risultati/ViewDetail/bd294e39-0e03-ef11-9f89-000d3a49c7b1" TargetMode="External"/><Relationship Id="rId36" Type="http://schemas.openxmlformats.org/officeDocument/2006/relationships/hyperlink" Target="https://areariservata.federgolf.it/Risultati/ViewDetail/956a4e03-b104-ef11-9f89-000d3a49c7b1" TargetMode="External"/><Relationship Id="rId39" Type="http://schemas.openxmlformats.org/officeDocument/2006/relationships/hyperlink" Target="https://areariservata.federgolf.it/Risultati/ViewDetail/eee26788-6ed9-ee11-904c-000d3a2e4d07" TargetMode="External"/><Relationship Id="rId38" Type="http://schemas.openxmlformats.org/officeDocument/2006/relationships/hyperlink" Target="https://areariservata.federgolf.it/Risultati/ViewDetail/a3963b12-2fff-ee11-9f8a-000d3a2e46dd" TargetMode="External"/><Relationship Id="rId20" Type="http://schemas.openxmlformats.org/officeDocument/2006/relationships/hyperlink" Target="https://areariservata.federgolf.it/Risultati/ViewDetail/d05b1dce-2dd0-ef11-b8e8-6045bd98046e" TargetMode="External"/><Relationship Id="rId22" Type="http://schemas.openxmlformats.org/officeDocument/2006/relationships/hyperlink" Target="https://areariservata.federgolf.it/Risultati/ViewDetail/8ce709ec-f3b6-ef11-b8e8-7c1e5260611a" TargetMode="External"/><Relationship Id="rId21" Type="http://schemas.openxmlformats.org/officeDocument/2006/relationships/hyperlink" Target="https://areariservata.federgolf.it/Risultati/ViewDetail/e864247e-32c5-ef11-b8e8-6045bd98046e" TargetMode="External"/><Relationship Id="rId24" Type="http://schemas.openxmlformats.org/officeDocument/2006/relationships/hyperlink" Target="https://areariservata.federgolf.it/Risultati/ViewDetail/6636f4d5-e899-ef11-8a69-6045bd9bdeca" TargetMode="External"/><Relationship Id="rId23" Type="http://schemas.openxmlformats.org/officeDocument/2006/relationships/hyperlink" Target="https://areariservata.federgolf.it/Risultati/ViewDetail/0ea889e4-acb4-ef11-b8e8-000d3abc6110" TargetMode="External"/><Relationship Id="rId26" Type="http://schemas.openxmlformats.org/officeDocument/2006/relationships/hyperlink" Target="https://areariservata.federgolf.it/Risultati/ViewDetail/90f389a1-5382-ef11-ac21-000d3a3a0b4f" TargetMode="External"/><Relationship Id="rId25" Type="http://schemas.openxmlformats.org/officeDocument/2006/relationships/hyperlink" Target="https://areariservata.federgolf.it/Risultati/ViewDetail/3be4e840-2983-ef11-ac20-6045bd89f057" TargetMode="External"/><Relationship Id="rId28" Type="http://schemas.openxmlformats.org/officeDocument/2006/relationships/hyperlink" Target="https://areariservata.federgolf.it/Risultati/ViewDetail/9a7a1ed3-7a68-ef11-bfe3-7c1e522a0c88" TargetMode="External"/><Relationship Id="rId27" Type="http://schemas.openxmlformats.org/officeDocument/2006/relationships/hyperlink" Target="https://areariservata.federgolf.it/Risultati/ViewDetail/8771d928-fe78-ef11-a670-6045bd9ddd9b" TargetMode="External"/><Relationship Id="rId29" Type="http://schemas.openxmlformats.org/officeDocument/2006/relationships/hyperlink" Target="https://areariservata.federgolf.it/Risultati/ViewDetail/f8ae5131-314c-ef11-bfe2-6045bd8ee2fa" TargetMode="External"/><Relationship Id="rId95" Type="http://schemas.openxmlformats.org/officeDocument/2006/relationships/hyperlink" Target="https://areariservata.federgolf.it/Risultati/ViewDetail/55404feb-39cc-4d46-bf27-f9e76ec44dca" TargetMode="External"/><Relationship Id="rId94" Type="http://schemas.openxmlformats.org/officeDocument/2006/relationships/hyperlink" Target="https://areariservata.federgolf.it/Risultati/ViewDetail/2f4b201d-3d1b-4e9a-9656-9fec3c2a55b7" TargetMode="External"/><Relationship Id="rId97" Type="http://schemas.openxmlformats.org/officeDocument/2006/relationships/hyperlink" Target="https://areariservata.federgolf.it/Risultati/ViewDetail/ea9f457b-32dd-47fe-a83f-10f90ec9f78c" TargetMode="External"/><Relationship Id="rId96" Type="http://schemas.openxmlformats.org/officeDocument/2006/relationships/hyperlink" Target="https://areariservata.federgolf.it/Risultati/ViewDetail/129a548b-9867-4d10-860a-a522ec2b64f2" TargetMode="External"/><Relationship Id="rId11" Type="http://schemas.openxmlformats.org/officeDocument/2006/relationships/hyperlink" Target="https://areariservata.federgolf.it/Risultati/ViewDetail/13666602-4133-f011-8c4e-000d3a218cad" TargetMode="External"/><Relationship Id="rId99" Type="http://schemas.openxmlformats.org/officeDocument/2006/relationships/hyperlink" Target="https://areariservata.federgolf.it/Risultati/ViewDetail/8c024394-2814-4b90-8642-33a1b26039b9" TargetMode="External"/><Relationship Id="rId10" Type="http://schemas.openxmlformats.org/officeDocument/2006/relationships/hyperlink" Target="https://areariservata.federgolf.it/Risultati/ViewDetail/cc9e7257-3449-f011-877a-7c1e52132c8b" TargetMode="External"/><Relationship Id="rId98" Type="http://schemas.openxmlformats.org/officeDocument/2006/relationships/hyperlink" Target="https://areariservata.federgolf.it/Risultati/ViewDetail/51a04302-8d95-4670-af97-28392e312838" TargetMode="External"/><Relationship Id="rId13" Type="http://schemas.openxmlformats.org/officeDocument/2006/relationships/hyperlink" Target="https://areariservata.federgolf.it/Risultati/ViewDetail/4b2a7e2b-401d-f011-9989-000d3aada8e5" TargetMode="External"/><Relationship Id="rId12" Type="http://schemas.openxmlformats.org/officeDocument/2006/relationships/hyperlink" Target="https://areariservata.federgolf.it/Risultati/ViewDetail/ac1d230b-712e-f011-8c4d-6045bd951aac" TargetMode="External"/><Relationship Id="rId91" Type="http://schemas.openxmlformats.org/officeDocument/2006/relationships/hyperlink" Target="https://areariservata.federgolf.it/Risultati/ViewDetail/843d7e46-40d0-4abc-955f-37d72b9204db" TargetMode="External"/><Relationship Id="rId90" Type="http://schemas.openxmlformats.org/officeDocument/2006/relationships/hyperlink" Target="https://areariservata.federgolf.it/Risultati/ViewDetail/0a7ac59d-23f2-4db5-b345-ebabff5eb491" TargetMode="External"/><Relationship Id="rId93" Type="http://schemas.openxmlformats.org/officeDocument/2006/relationships/hyperlink" Target="https://areariservata.federgolf.it/Risultati/ViewDetail/6a692645-00c1-43bc-88cc-b7c93b5adada" TargetMode="External"/><Relationship Id="rId92" Type="http://schemas.openxmlformats.org/officeDocument/2006/relationships/hyperlink" Target="https://areariservata.federgolf.it/Risultati/ViewDetail/c4dd2ec0-5a55-41aa-9b3f-2e2b2b3d407e" TargetMode="External"/><Relationship Id="rId15" Type="http://schemas.openxmlformats.org/officeDocument/2006/relationships/hyperlink" Target="https://areariservata.federgolf.it/Risultati/ViewDetail/c911437f-fe07-f011-bae3-7c1e5261b157" TargetMode="External"/><Relationship Id="rId14" Type="http://schemas.openxmlformats.org/officeDocument/2006/relationships/hyperlink" Target="https://areariservata.federgolf.it/Risultati/ViewDetail/6d10aae8-b917-f011-998a-000d3a218cad" TargetMode="External"/><Relationship Id="rId17" Type="http://schemas.openxmlformats.org/officeDocument/2006/relationships/hyperlink" Target="https://areariservata.federgolf.it/Risultati/ViewDetail/f315cca1-19fd-ef11-bae3-000d3a22df9a" TargetMode="External"/><Relationship Id="rId16" Type="http://schemas.openxmlformats.org/officeDocument/2006/relationships/hyperlink" Target="https://areariservata.federgolf.it/Risultati/ViewDetail/7f775bf1-4007-f011-bae2-000d3a27003c" TargetMode="External"/><Relationship Id="rId19" Type="http://schemas.openxmlformats.org/officeDocument/2006/relationships/hyperlink" Target="https://areariservata.federgolf.it/Risultati/ViewDetail/de910618-b9d5-ef11-a730-000d3a25284d" TargetMode="External"/><Relationship Id="rId18" Type="http://schemas.openxmlformats.org/officeDocument/2006/relationships/hyperlink" Target="https://areariservata.federgolf.it/Risultati/ViewDetail/1e6798b0-27f1-ef11-be20-000d3a22df9a" TargetMode="External"/><Relationship Id="rId84" Type="http://schemas.openxmlformats.org/officeDocument/2006/relationships/hyperlink" Target="https://areariservata.federgolf.it/Risultati/ViewDetail/fb67b4ee-96cd-4241-9480-d0bd7953c8de" TargetMode="External"/><Relationship Id="rId83" Type="http://schemas.openxmlformats.org/officeDocument/2006/relationships/hyperlink" Target="https://areariservata.federgolf.it/Risultati/ViewDetail/75ef847a-e643-486f-abf6-7a97c13d2c2f" TargetMode="External"/><Relationship Id="rId86" Type="http://schemas.openxmlformats.org/officeDocument/2006/relationships/hyperlink" Target="https://areariservata.federgolf.it/Risultati/ViewDetail/93f6a010-0618-43ee-9c95-67f9d7046258" TargetMode="External"/><Relationship Id="rId85" Type="http://schemas.openxmlformats.org/officeDocument/2006/relationships/hyperlink" Target="https://areariservata.federgolf.it/Risultati/ViewDetail/c71ad3c0-3dc5-41eb-b5ce-d4c34d712de4" TargetMode="External"/><Relationship Id="rId88" Type="http://schemas.openxmlformats.org/officeDocument/2006/relationships/hyperlink" Target="https://areariservata.federgolf.it/Risultati/ViewDetail/39aa4ba1-0b60-4457-946d-c962fb3f970a" TargetMode="External"/><Relationship Id="rId87" Type="http://schemas.openxmlformats.org/officeDocument/2006/relationships/hyperlink" Target="https://areariservata.federgolf.it/Risultati/ViewDetail/e5c34d7e-9a0f-49fe-aa0f-4f1981dad54e" TargetMode="External"/><Relationship Id="rId89" Type="http://schemas.openxmlformats.org/officeDocument/2006/relationships/hyperlink" Target="https://areariservata.federgolf.it/Risultati/ViewDetail/fae64ee2-00dc-4d85-af70-34f6c2d2085f" TargetMode="External"/><Relationship Id="rId80" Type="http://schemas.openxmlformats.org/officeDocument/2006/relationships/hyperlink" Target="https://areariservata.federgolf.it/Risultati/ViewDetail/f2972be8-7be5-43a1-bac2-bf3f235b9f71" TargetMode="External"/><Relationship Id="rId82" Type="http://schemas.openxmlformats.org/officeDocument/2006/relationships/hyperlink" Target="https://areariservata.federgolf.it/Risultati/ViewDetail/a1eff1e3-323d-499a-b9c4-5dd7d38dde61" TargetMode="External"/><Relationship Id="rId81" Type="http://schemas.openxmlformats.org/officeDocument/2006/relationships/hyperlink" Target="https://areariservata.federgolf.it/Risultati/ViewDetail/d7f7fdeb-3deb-4804-92c0-491861e96a8c" TargetMode="External"/><Relationship Id="rId1" Type="http://schemas.openxmlformats.org/officeDocument/2006/relationships/hyperlink" Target="https://areariservata.federgolf.it/Risultati/ViewDetail/f5a97cc5-71e9-f011-8544-000d3aabbd41" TargetMode="External"/><Relationship Id="rId2" Type="http://schemas.openxmlformats.org/officeDocument/2006/relationships/hyperlink" Target="https://areariservata.federgolf.it/Risultati/ViewDetail/449554a4-4ae6-f011-8544-000d3abe6a53" TargetMode="External"/><Relationship Id="rId3" Type="http://schemas.openxmlformats.org/officeDocument/2006/relationships/hyperlink" Target="https://areariservata.federgolf.it/Risultati/ViewDetail/40fce359-f2e3-f011-8544-000d3abe6a53" TargetMode="External"/><Relationship Id="rId4" Type="http://schemas.openxmlformats.org/officeDocument/2006/relationships/hyperlink" Target="https://areariservata.federgolf.it/Risultati/ViewDetail/e74bc1ef-6bd3-f011-8544-000d3abe6378" TargetMode="External"/><Relationship Id="rId9" Type="http://schemas.openxmlformats.org/officeDocument/2006/relationships/hyperlink" Target="https://areariservata.federgolf.it/Risultati/ViewDetail/4ba21ba0-2c54-f011-877b-000d3a397468" TargetMode="External"/><Relationship Id="rId5" Type="http://schemas.openxmlformats.org/officeDocument/2006/relationships/hyperlink" Target="https://areariservata.federgolf.it/Risultati/ViewDetail/71c503eb-e5cd-f011-bbd3-000d3aabb42c" TargetMode="External"/><Relationship Id="rId6" Type="http://schemas.openxmlformats.org/officeDocument/2006/relationships/hyperlink" Target="https://areariservata.federgolf.it/Risultati/ViewDetail/915cd852-c2b1-f011-bbd3-6045bd9cb7a2" TargetMode="External"/><Relationship Id="rId7" Type="http://schemas.openxmlformats.org/officeDocument/2006/relationships/hyperlink" Target="https://areariservata.federgolf.it/Risultati/ViewDetail/52d89b77-1d93-f011-b4cb-000d3a268976" TargetMode="External"/><Relationship Id="rId8" Type="http://schemas.openxmlformats.org/officeDocument/2006/relationships/hyperlink" Target="https://areariservata.federgolf.it/Risultati/ViewDetail/ca151e0c-c490-f011-b4cc-000d3a397468" TargetMode="External"/><Relationship Id="rId73" Type="http://schemas.openxmlformats.org/officeDocument/2006/relationships/hyperlink" Target="https://areariservata.federgolf.it/Risultati/ViewDetail/19fdfc0f-1481-ec11-8d21-000d3a4c0cac" TargetMode="External"/><Relationship Id="rId72" Type="http://schemas.openxmlformats.org/officeDocument/2006/relationships/hyperlink" Target="https://areariservata.federgolf.it/Risultati/ViewDetail/fb3bd9e4-8486-ec11-93b0-000d3a4ca94e" TargetMode="External"/><Relationship Id="rId75" Type="http://schemas.openxmlformats.org/officeDocument/2006/relationships/hyperlink" Target="https://areariservata.federgolf.it/Risultati/ViewDetail/7a05c333-1776-ec11-8d21-6045bd906995" TargetMode="External"/><Relationship Id="rId74" Type="http://schemas.openxmlformats.org/officeDocument/2006/relationships/hyperlink" Target="https://areariservata.federgolf.it/Risultati/ViewDetail/ab635786-587c-ec11-8d21-00224881b0a4" TargetMode="External"/><Relationship Id="rId77" Type="http://schemas.openxmlformats.org/officeDocument/2006/relationships/hyperlink" Target="https://areariservata.federgolf.it/Risultati/ViewDetail/87b3cab6-1760-ec11-8f8f-000d3aad63a1" TargetMode="External"/><Relationship Id="rId76" Type="http://schemas.openxmlformats.org/officeDocument/2006/relationships/hyperlink" Target="https://areariservata.federgolf.it/Risultati/ViewDetail/955f7416-416a-ec11-8943-00224880adb5" TargetMode="External"/><Relationship Id="rId79" Type="http://schemas.openxmlformats.org/officeDocument/2006/relationships/hyperlink" Target="https://areariservata.federgolf.it/Risultati/ViewDetail/6817ca4a-3ea8-4c92-abfa-2db23231e662" TargetMode="External"/><Relationship Id="rId78" Type="http://schemas.openxmlformats.org/officeDocument/2006/relationships/hyperlink" Target="https://areariservata.federgolf.it/Risultati/ViewDetail/1511868b-854f-ec11-8c62-000d3abf755f" TargetMode="External"/><Relationship Id="rId71" Type="http://schemas.openxmlformats.org/officeDocument/2006/relationships/hyperlink" Target="https://areariservata.federgolf.it/Risultati/ViewDetail/4aa55bd8-1e97-ec11-b400-6045bd90670b" TargetMode="External"/><Relationship Id="rId70" Type="http://schemas.openxmlformats.org/officeDocument/2006/relationships/hyperlink" Target="https://areariservata.federgolf.it/Risultati/ViewDetail/abda380a-1ca2-ec11-983f-000d3a4cbede" TargetMode="External"/><Relationship Id="rId62" Type="http://schemas.openxmlformats.org/officeDocument/2006/relationships/hyperlink" Target="https://areariservata.federgolf.it/Risultati/ViewDetail/29d0a188-cfef-ec11-bb3d-000d3aae9b55" TargetMode="External"/><Relationship Id="rId61" Type="http://schemas.openxmlformats.org/officeDocument/2006/relationships/hyperlink" Target="https://areariservata.federgolf.it/Risultati/ViewDetail/ff709fa0-1e05-ed11-82e5-6045bd8b9f12" TargetMode="External"/><Relationship Id="rId64" Type="http://schemas.openxmlformats.org/officeDocument/2006/relationships/hyperlink" Target="https://areariservata.federgolf.it/Risultati/ViewDetail/821be055-07ec-ec11-bb3d-6045bd956887" TargetMode="External"/><Relationship Id="rId63" Type="http://schemas.openxmlformats.org/officeDocument/2006/relationships/hyperlink" Target="https://areariservata.federgolf.it/Risultati/ViewDetail/dde6e9ff-14ef-ec11-bb3d-6045bd956fc3" TargetMode="External"/><Relationship Id="rId66" Type="http://schemas.openxmlformats.org/officeDocument/2006/relationships/hyperlink" Target="https://areariservata.federgolf.it/Risultati/ViewDetail/75801864-1fbf-ec11-983f-000d3a48e522" TargetMode="External"/><Relationship Id="rId65" Type="http://schemas.openxmlformats.org/officeDocument/2006/relationships/hyperlink" Target="https://areariservata.federgolf.it/Risultati/ViewDetail/359dad50-9cc8-ec11-a7b5-000d3abc78a6" TargetMode="External"/><Relationship Id="rId68" Type="http://schemas.openxmlformats.org/officeDocument/2006/relationships/hyperlink" Target="https://areariservata.federgolf.it/Risultati/ViewDetail/d14d38ba-dcad-ec11-9840-000d3a4414be" TargetMode="External"/><Relationship Id="rId67" Type="http://schemas.openxmlformats.org/officeDocument/2006/relationships/hyperlink" Target="https://areariservata.federgolf.it/Risultati/ViewDetail/a3eca3eb-f1b8-ec11-983f-6045bd90e776" TargetMode="External"/><Relationship Id="rId60" Type="http://schemas.openxmlformats.org/officeDocument/2006/relationships/hyperlink" Target="https://areariservata.federgolf.it/Risultati/ViewDetail/48b08122-0e1b-ed11-b83e-002248818988" TargetMode="External"/><Relationship Id="rId69" Type="http://schemas.openxmlformats.org/officeDocument/2006/relationships/hyperlink" Target="https://areariservata.federgolf.it/Risultati/ViewDetail/98337bc2-96a7-ec11-983f-002248836ba6" TargetMode="External"/><Relationship Id="rId51" Type="http://schemas.openxmlformats.org/officeDocument/2006/relationships/hyperlink" Target="https://areariservata.federgolf.it/Risultati/ViewDetail/f8bf9287-ab07-ee11-8f6e-6045bd8f124f" TargetMode="External"/><Relationship Id="rId50" Type="http://schemas.openxmlformats.org/officeDocument/2006/relationships/hyperlink" Target="https://areariservata.federgolf.it/Risultati/ViewDetail/d2eb74d1-f70d-ee11-8f6d-000d3a2e46dd" TargetMode="External"/><Relationship Id="rId53" Type="http://schemas.openxmlformats.org/officeDocument/2006/relationships/hyperlink" Target="https://areariservata.federgolf.it/Risultati/ViewDetail/d3f39942-dbff-ed11-8f6e-000d3a2e48af" TargetMode="External"/><Relationship Id="rId52" Type="http://schemas.openxmlformats.org/officeDocument/2006/relationships/hyperlink" Target="https://areariservata.federgolf.it/Risultati/ViewDetail/39a66e51-8e04-ee11-8f6e-6045bd8f124f" TargetMode="External"/><Relationship Id="rId55" Type="http://schemas.openxmlformats.org/officeDocument/2006/relationships/hyperlink" Target="https://areariservata.federgolf.it/Risultati/ViewDetail/53f3e4b6-acba-ed11-83ff-000d3a2e48af" TargetMode="External"/><Relationship Id="rId54" Type="http://schemas.openxmlformats.org/officeDocument/2006/relationships/hyperlink" Target="https://areariservata.federgolf.it/Risultati/ViewDetail/e74a2dda-aed0-ed11-a7c7-000d3a2e48af" TargetMode="External"/><Relationship Id="rId57" Type="http://schemas.openxmlformats.org/officeDocument/2006/relationships/hyperlink" Target="https://areariservata.federgolf.it/Risultati/ViewDetail/c883a5cc-c78d-ed11-81ad-000d3a2e48af" TargetMode="External"/><Relationship Id="rId56" Type="http://schemas.openxmlformats.org/officeDocument/2006/relationships/hyperlink" Target="https://areariservata.federgolf.it/Risultati/ViewDetail/9e5913a1-ee94-ed11-aad1-000d3a2e48af" TargetMode="External"/><Relationship Id="rId59" Type="http://schemas.openxmlformats.org/officeDocument/2006/relationships/hyperlink" Target="https://areariservata.federgolf.it/Risultati/ViewDetail/2b92b48e-c31c-ed11-b83d-000d3abeb68f" TargetMode="External"/><Relationship Id="rId58" Type="http://schemas.openxmlformats.org/officeDocument/2006/relationships/hyperlink" Target="https://areariservata.federgolf.it/Risultati/ViewDetail/664d53bc-f473-ed11-81ab-000d3a2e48af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areariservata.federgolf.it/Risultati/ViewDetail/5c69f20b-5c23-ef11-840a-000d3a294ba7" TargetMode="External"/><Relationship Id="rId42" Type="http://schemas.openxmlformats.org/officeDocument/2006/relationships/hyperlink" Target="https://areariservata.federgolf.it/Risultati/ViewDetail/2f3c2a5d-b01a-ef11-840b-000d3a2e46dd" TargetMode="External"/><Relationship Id="rId41" Type="http://schemas.openxmlformats.org/officeDocument/2006/relationships/hyperlink" Target="https://areariservata.federgolf.it/Risultati/ViewDetail/b689d197-9d20-ef11-840a-7c1e5211833f" TargetMode="External"/><Relationship Id="rId44" Type="http://schemas.openxmlformats.org/officeDocument/2006/relationships/hyperlink" Target="https://areariservata.federgolf.it/Risultati/ViewDetail/6bfdfa49-aa08-ef11-9f8a-000d3a2e46dd" TargetMode="External"/><Relationship Id="rId43" Type="http://schemas.openxmlformats.org/officeDocument/2006/relationships/hyperlink" Target="https://areariservata.federgolf.it/Risultati/ViewDetail/4806c640-ba0f-ef11-9f89-6045bd8856a1" TargetMode="External"/><Relationship Id="rId46" Type="http://schemas.openxmlformats.org/officeDocument/2006/relationships/hyperlink" Target="https://areariservata.federgolf.it/Risultati/ViewDetail/bd294e39-0e03-ef11-9f89-000d3a49c7b1" TargetMode="External"/><Relationship Id="rId45" Type="http://schemas.openxmlformats.org/officeDocument/2006/relationships/hyperlink" Target="https://areariservata.federgolf.it/Risultati/ViewDetail/956a4e03-b104-ef11-9f89-000d3a49c7b1" TargetMode="External"/><Relationship Id="rId48" Type="http://schemas.openxmlformats.org/officeDocument/2006/relationships/hyperlink" Target="https://areariservata.federgolf.it/Risultati/ViewDetail/eee26788-6ed9-ee11-904c-000d3a2e4d07" TargetMode="External"/><Relationship Id="rId47" Type="http://schemas.openxmlformats.org/officeDocument/2006/relationships/hyperlink" Target="https://areariservata.federgolf.it/Risultati/ViewDetail/a3963b12-2fff-ee11-9f8a-000d3a2e46dd" TargetMode="External"/><Relationship Id="rId49" Type="http://schemas.openxmlformats.org/officeDocument/2006/relationships/hyperlink" Target="https://areariservata.federgolf.it/Risultati/ViewDetail/b5b94eea-22d3-ee11-9079-6045bd8f124f" TargetMode="External"/><Relationship Id="rId31" Type="http://schemas.openxmlformats.org/officeDocument/2006/relationships/hyperlink" Target="https://areariservata.federgolf.it/Risultati/ViewDetail/8ce709ec-f3b6-ef11-b8e8-7c1e5260611a" TargetMode="External"/><Relationship Id="rId30" Type="http://schemas.openxmlformats.org/officeDocument/2006/relationships/hyperlink" Target="https://areariservata.federgolf.it/Risultati/ViewDetail/e864247e-32c5-ef11-b8e8-6045bd98046e" TargetMode="External"/><Relationship Id="rId33" Type="http://schemas.openxmlformats.org/officeDocument/2006/relationships/hyperlink" Target="https://areariservata.federgolf.it/Risultati/ViewDetail/6636f4d5-e899-ef11-8a69-6045bd9bdeca" TargetMode="External"/><Relationship Id="rId32" Type="http://schemas.openxmlformats.org/officeDocument/2006/relationships/hyperlink" Target="https://areariservata.federgolf.it/Risultati/ViewDetail/0ea889e4-acb4-ef11-b8e8-000d3abc6110" TargetMode="External"/><Relationship Id="rId35" Type="http://schemas.openxmlformats.org/officeDocument/2006/relationships/hyperlink" Target="https://areariservata.federgolf.it/Risultati/ViewDetail/90f389a1-5382-ef11-ac21-000d3a3a0b4f" TargetMode="External"/><Relationship Id="rId34" Type="http://schemas.openxmlformats.org/officeDocument/2006/relationships/hyperlink" Target="https://areariservata.federgolf.it/Risultati/ViewDetail/3be4e840-2983-ef11-ac20-6045bd89f057" TargetMode="External"/><Relationship Id="rId37" Type="http://schemas.openxmlformats.org/officeDocument/2006/relationships/hyperlink" Target="https://areariservata.federgolf.it/Risultati/ViewDetail/9a7a1ed3-7a68-ef11-bfe3-7c1e522a0c88" TargetMode="External"/><Relationship Id="rId36" Type="http://schemas.openxmlformats.org/officeDocument/2006/relationships/hyperlink" Target="https://areariservata.federgolf.it/Risultati/ViewDetail/8771d928-fe78-ef11-a670-6045bd9ddd9b" TargetMode="External"/><Relationship Id="rId39" Type="http://schemas.openxmlformats.org/officeDocument/2006/relationships/hyperlink" Target="https://areariservata.federgolf.it/Risultati/ViewDetail/a2c52f1c-773c-ef11-8409-000d3a203ee0" TargetMode="External"/><Relationship Id="rId38" Type="http://schemas.openxmlformats.org/officeDocument/2006/relationships/hyperlink" Target="https://areariservata.federgolf.it/Risultati/ViewDetail/f8ae5131-314c-ef11-bfe2-6045bd8ee2fa" TargetMode="External"/><Relationship Id="rId20" Type="http://schemas.openxmlformats.org/officeDocument/2006/relationships/hyperlink" Target="https://areariservata.federgolf.it/Risultati/ViewDetail/13666602-4133-f011-8c4e-000d3a218cad" TargetMode="External"/><Relationship Id="rId22" Type="http://schemas.openxmlformats.org/officeDocument/2006/relationships/hyperlink" Target="https://areariservata.federgolf.it/Risultati/ViewDetail/4b2a7e2b-401d-f011-9989-000d3aada8e5" TargetMode="External"/><Relationship Id="rId21" Type="http://schemas.openxmlformats.org/officeDocument/2006/relationships/hyperlink" Target="https://areariservata.federgolf.it/Risultati/ViewDetail/ac1d230b-712e-f011-8c4d-6045bd951aac" TargetMode="External"/><Relationship Id="rId24" Type="http://schemas.openxmlformats.org/officeDocument/2006/relationships/hyperlink" Target="https://areariservata.federgolf.it/Risultati/ViewDetail/c911437f-fe07-f011-bae3-7c1e5261b157" TargetMode="External"/><Relationship Id="rId23" Type="http://schemas.openxmlformats.org/officeDocument/2006/relationships/hyperlink" Target="https://areariservata.federgolf.it/Risultati/ViewDetail/6d10aae8-b917-f011-998a-000d3a218cad" TargetMode="External"/><Relationship Id="rId26" Type="http://schemas.openxmlformats.org/officeDocument/2006/relationships/hyperlink" Target="https://areariservata.federgolf.it/Risultati/ViewDetail/f315cca1-19fd-ef11-bae3-000d3a22df9a" TargetMode="External"/><Relationship Id="rId25" Type="http://schemas.openxmlformats.org/officeDocument/2006/relationships/hyperlink" Target="https://areariservata.federgolf.it/Risultati/ViewDetail/7f775bf1-4007-f011-bae2-000d3a27003c" TargetMode="External"/><Relationship Id="rId28" Type="http://schemas.openxmlformats.org/officeDocument/2006/relationships/hyperlink" Target="https://areariservata.federgolf.it/Risultati/ViewDetail/de910618-b9d5-ef11-a730-000d3a25284d" TargetMode="External"/><Relationship Id="rId27" Type="http://schemas.openxmlformats.org/officeDocument/2006/relationships/hyperlink" Target="https://areariservata.federgolf.it/Risultati/ViewDetail/1e6798b0-27f1-ef11-be20-000d3a22df9a" TargetMode="External"/><Relationship Id="rId29" Type="http://schemas.openxmlformats.org/officeDocument/2006/relationships/hyperlink" Target="https://areariservata.federgolf.it/Risultati/ViewDetail/d05b1dce-2dd0-ef11-b8e8-6045bd98046e" TargetMode="External"/><Relationship Id="rId94" Type="http://schemas.openxmlformats.org/officeDocument/2006/relationships/drawing" Target="../drawings/drawing2.xml"/><Relationship Id="rId11" Type="http://schemas.openxmlformats.org/officeDocument/2006/relationships/hyperlink" Target="https://areariservata.federgolf.it/Risultati/ViewDetail/449554a4-4ae6-f011-8544-000d3abe6a53" TargetMode="External"/><Relationship Id="rId10" Type="http://schemas.openxmlformats.org/officeDocument/2006/relationships/hyperlink" Target="https://areariservata.federgolf.it/Risultati/ViewDetail/f5a97cc5-71e9-f011-8544-000d3aabbd41" TargetMode="External"/><Relationship Id="rId13" Type="http://schemas.openxmlformats.org/officeDocument/2006/relationships/hyperlink" Target="https://areariservata.federgolf.it/Risultati/ViewDetail/e74bc1ef-6bd3-f011-8544-000d3abe6378" TargetMode="External"/><Relationship Id="rId12" Type="http://schemas.openxmlformats.org/officeDocument/2006/relationships/hyperlink" Target="https://areariservata.federgolf.it/Risultati/ViewDetail/40fce359-f2e3-f011-8544-000d3abe6a53" TargetMode="External"/><Relationship Id="rId91" Type="http://schemas.openxmlformats.org/officeDocument/2006/relationships/hyperlink" Target="https://areariservata.federgolf.it/Risultati/ViewDetail/a1eff1e3-323d-499a-b9c4-5dd7d38dde61" TargetMode="External"/><Relationship Id="rId90" Type="http://schemas.openxmlformats.org/officeDocument/2006/relationships/hyperlink" Target="https://areariservata.federgolf.it/Risultati/ViewDetail/d7f7fdeb-3deb-4804-92c0-491861e96a8c" TargetMode="External"/><Relationship Id="rId93" Type="http://schemas.openxmlformats.org/officeDocument/2006/relationships/hyperlink" Target="https://areariservata.federgolf.it/Risultati/ViewDetail/fb67b4ee-96cd-4241-9480-d0bd7953c8de" TargetMode="External"/><Relationship Id="rId92" Type="http://schemas.openxmlformats.org/officeDocument/2006/relationships/hyperlink" Target="https://areariservata.federgolf.it/Risultati/ViewDetail/75ef847a-e643-486f-abf6-7a97c13d2c2f" TargetMode="External"/><Relationship Id="rId15" Type="http://schemas.openxmlformats.org/officeDocument/2006/relationships/hyperlink" Target="https://areariservata.federgolf.it/Risultati/ViewDetail/915cd852-c2b1-f011-bbd3-6045bd9cb7a2" TargetMode="External"/><Relationship Id="rId14" Type="http://schemas.openxmlformats.org/officeDocument/2006/relationships/hyperlink" Target="https://areariservata.federgolf.it/Risultati/ViewDetail/71c503eb-e5cd-f011-bbd3-000d3aabb42c" TargetMode="External"/><Relationship Id="rId17" Type="http://schemas.openxmlformats.org/officeDocument/2006/relationships/hyperlink" Target="https://areariservata.federgolf.it/Risultati/ViewDetail/ca151e0c-c490-f011-b4cc-000d3a397468" TargetMode="External"/><Relationship Id="rId16" Type="http://schemas.openxmlformats.org/officeDocument/2006/relationships/hyperlink" Target="https://areariservata.federgolf.it/Risultati/ViewDetail/52d89b77-1d93-f011-b4cb-000d3a268976" TargetMode="External"/><Relationship Id="rId19" Type="http://schemas.openxmlformats.org/officeDocument/2006/relationships/hyperlink" Target="https://areariservata.federgolf.it/Risultati/ViewDetail/cc9e7257-3449-f011-877a-7c1e52132c8b" TargetMode="External"/><Relationship Id="rId18" Type="http://schemas.openxmlformats.org/officeDocument/2006/relationships/hyperlink" Target="https://areariservata.federgolf.it/Risultati/ViewDetail/4ba21ba0-2c54-f011-877b-000d3a397468" TargetMode="External"/><Relationship Id="rId84" Type="http://schemas.openxmlformats.org/officeDocument/2006/relationships/hyperlink" Target="https://areariservata.federgolf.it/Risultati/ViewDetail/7a05c333-1776-ec11-8d21-6045bd906995" TargetMode="External"/><Relationship Id="rId83" Type="http://schemas.openxmlformats.org/officeDocument/2006/relationships/hyperlink" Target="https://areariservata.federgolf.it/Risultati/ViewDetail/ab635786-587c-ec11-8d21-00224881b0a4" TargetMode="External"/><Relationship Id="rId86" Type="http://schemas.openxmlformats.org/officeDocument/2006/relationships/hyperlink" Target="https://areariservata.federgolf.it/Risultati/ViewDetail/87b3cab6-1760-ec11-8f8f-000d3aad63a1" TargetMode="External"/><Relationship Id="rId85" Type="http://schemas.openxmlformats.org/officeDocument/2006/relationships/hyperlink" Target="https://areariservata.federgolf.it/Risultati/ViewDetail/955f7416-416a-ec11-8943-00224880adb5" TargetMode="External"/><Relationship Id="rId88" Type="http://schemas.openxmlformats.org/officeDocument/2006/relationships/hyperlink" Target="https://areariservata.federgolf.it/Risultati/ViewDetail/6817ca4a-3ea8-4c92-abfa-2db23231e662" TargetMode="External"/><Relationship Id="rId87" Type="http://schemas.openxmlformats.org/officeDocument/2006/relationships/hyperlink" Target="https://areariservata.federgolf.it/Risultati/ViewDetail/1511868b-854f-ec11-8c62-000d3abf755f" TargetMode="External"/><Relationship Id="rId89" Type="http://schemas.openxmlformats.org/officeDocument/2006/relationships/hyperlink" Target="https://areariservata.federgolf.it/Risultati/ViewDetail/f2972be8-7be5-43a1-bac2-bf3f235b9f71" TargetMode="External"/><Relationship Id="rId80" Type="http://schemas.openxmlformats.org/officeDocument/2006/relationships/hyperlink" Target="https://areariservata.federgolf.it/Risultati/ViewDetail/4aa55bd8-1e97-ec11-b400-6045bd90670b" TargetMode="External"/><Relationship Id="rId82" Type="http://schemas.openxmlformats.org/officeDocument/2006/relationships/hyperlink" Target="https://areariservata.federgolf.it/Risultati/ViewDetail/19fdfc0f-1481-ec11-8d21-000d3a4c0cac" TargetMode="External"/><Relationship Id="rId81" Type="http://schemas.openxmlformats.org/officeDocument/2006/relationships/hyperlink" Target="https://areariservata.federgolf.it/Risultati/ViewDetail/fb3bd9e4-8486-ec11-93b0-000d3a4ca94e" TargetMode="External"/><Relationship Id="rId1" Type="http://schemas.openxmlformats.org/officeDocument/2006/relationships/hyperlink" Target="https://areariservata.federgolf.it/Risultati/ViewDetail/1d5038a0-e388-f111-ab0f-6045bd92f28e" TargetMode="External"/><Relationship Id="rId2" Type="http://schemas.openxmlformats.org/officeDocument/2006/relationships/hyperlink" Target="https://areariservata.federgolf.it/Risultati/ViewDetail/5b0267b0-ad82-f111-ab0f-000d3a4cc789" TargetMode="External"/><Relationship Id="rId3" Type="http://schemas.openxmlformats.org/officeDocument/2006/relationships/hyperlink" Target="https://areariservata.federgolf.it/Risultati/ViewDetail/eca74618-4667-f111-ab0d-6045bd907320" TargetMode="External"/><Relationship Id="rId4" Type="http://schemas.openxmlformats.org/officeDocument/2006/relationships/hyperlink" Target="https://areariservata.federgolf.it/Risultati/ViewDetail/a7fd6986-3760-f111-a826-6045bd8a538a" TargetMode="External"/><Relationship Id="rId9" Type="http://schemas.openxmlformats.org/officeDocument/2006/relationships/hyperlink" Target="https://areariservata.federgolf.it/Risultati/ViewDetail/a9fba1e8-8c20-f111-8341-6045bd9d72ce" TargetMode="External"/><Relationship Id="rId5" Type="http://schemas.openxmlformats.org/officeDocument/2006/relationships/hyperlink" Target="https://areariservata.federgolf.it/Risultati/ViewDetail/210dd0a5-2559-f111-bec7-6045bdf30a82" TargetMode="External"/><Relationship Id="rId6" Type="http://schemas.openxmlformats.org/officeDocument/2006/relationships/hyperlink" Target="https://areariservata.federgolf.it/Risultati/ViewDetail/0fa022b4-3b46-f111-bec6-7ced8d59bf91" TargetMode="External"/><Relationship Id="rId7" Type="http://schemas.openxmlformats.org/officeDocument/2006/relationships/hyperlink" Target="https://areariservata.federgolf.it/Risultati/ViewDetail/1cd07094-c031-f111-88b3-6045bdf30e59" TargetMode="External"/><Relationship Id="rId8" Type="http://schemas.openxmlformats.org/officeDocument/2006/relationships/hyperlink" Target="https://areariservata.federgolf.it/Risultati/ViewDetail/273ed615-0626-f111-8341-00224882a8d6" TargetMode="External"/><Relationship Id="rId73" Type="http://schemas.openxmlformats.org/officeDocument/2006/relationships/hyperlink" Target="https://areariservata.federgolf.it/Risultati/ViewDetail/821be055-07ec-ec11-bb3d-6045bd956887" TargetMode="External"/><Relationship Id="rId72" Type="http://schemas.openxmlformats.org/officeDocument/2006/relationships/hyperlink" Target="https://areariservata.federgolf.it/Risultati/ViewDetail/dde6e9ff-14ef-ec11-bb3d-6045bd956fc3" TargetMode="External"/><Relationship Id="rId75" Type="http://schemas.openxmlformats.org/officeDocument/2006/relationships/hyperlink" Target="https://areariservata.federgolf.it/Risultati/ViewDetail/75801864-1fbf-ec11-983f-000d3a48e522" TargetMode="External"/><Relationship Id="rId74" Type="http://schemas.openxmlformats.org/officeDocument/2006/relationships/hyperlink" Target="https://areariservata.federgolf.it/Risultati/ViewDetail/359dad50-9cc8-ec11-a7b5-000d3abc78a6" TargetMode="External"/><Relationship Id="rId77" Type="http://schemas.openxmlformats.org/officeDocument/2006/relationships/hyperlink" Target="https://areariservata.federgolf.it/Risultati/ViewDetail/d14d38ba-dcad-ec11-9840-000d3a4414be" TargetMode="External"/><Relationship Id="rId76" Type="http://schemas.openxmlformats.org/officeDocument/2006/relationships/hyperlink" Target="https://areariservata.federgolf.it/Risultati/ViewDetail/a3eca3eb-f1b8-ec11-983f-6045bd90e776" TargetMode="External"/><Relationship Id="rId79" Type="http://schemas.openxmlformats.org/officeDocument/2006/relationships/hyperlink" Target="https://areariservata.federgolf.it/Risultati/ViewDetail/abda380a-1ca2-ec11-983f-000d3a4cbede" TargetMode="External"/><Relationship Id="rId78" Type="http://schemas.openxmlformats.org/officeDocument/2006/relationships/hyperlink" Target="https://areariservata.federgolf.it/Risultati/ViewDetail/98337bc2-96a7-ec11-983f-002248836ba6" TargetMode="External"/><Relationship Id="rId71" Type="http://schemas.openxmlformats.org/officeDocument/2006/relationships/hyperlink" Target="https://areariservata.federgolf.it/Risultati/ViewDetail/29d0a188-cfef-ec11-bb3d-000d3aae9b55" TargetMode="External"/><Relationship Id="rId70" Type="http://schemas.openxmlformats.org/officeDocument/2006/relationships/hyperlink" Target="https://areariservata.federgolf.it/Risultati/ViewDetail/ff709fa0-1e05-ed11-82e5-6045bd8b9f12" TargetMode="External"/><Relationship Id="rId62" Type="http://schemas.openxmlformats.org/officeDocument/2006/relationships/hyperlink" Target="https://areariservata.federgolf.it/Risultati/ViewDetail/d3f39942-dbff-ed11-8f6e-000d3a2e48af" TargetMode="External"/><Relationship Id="rId61" Type="http://schemas.openxmlformats.org/officeDocument/2006/relationships/hyperlink" Target="https://areariservata.federgolf.it/Risultati/ViewDetail/39a66e51-8e04-ee11-8f6e-6045bd8f124f" TargetMode="External"/><Relationship Id="rId64" Type="http://schemas.openxmlformats.org/officeDocument/2006/relationships/hyperlink" Target="https://areariservata.federgolf.it/Risultati/ViewDetail/53f3e4b6-acba-ed11-83ff-000d3a2e48af" TargetMode="External"/><Relationship Id="rId63" Type="http://schemas.openxmlformats.org/officeDocument/2006/relationships/hyperlink" Target="https://areariservata.federgolf.it/Risultati/ViewDetail/e74a2dda-aed0-ed11-a7c7-000d3a2e48af" TargetMode="External"/><Relationship Id="rId66" Type="http://schemas.openxmlformats.org/officeDocument/2006/relationships/hyperlink" Target="https://areariservata.federgolf.it/Risultati/ViewDetail/c883a5cc-c78d-ed11-81ad-000d3a2e48af" TargetMode="External"/><Relationship Id="rId65" Type="http://schemas.openxmlformats.org/officeDocument/2006/relationships/hyperlink" Target="https://areariservata.federgolf.it/Risultati/ViewDetail/9e5913a1-ee94-ed11-aad1-000d3a2e48af" TargetMode="External"/><Relationship Id="rId68" Type="http://schemas.openxmlformats.org/officeDocument/2006/relationships/hyperlink" Target="https://areariservata.federgolf.it/Risultati/ViewDetail/2b92b48e-c31c-ed11-b83d-000d3abeb68f" TargetMode="External"/><Relationship Id="rId67" Type="http://schemas.openxmlformats.org/officeDocument/2006/relationships/hyperlink" Target="https://areariservata.federgolf.it/Risultati/ViewDetail/664d53bc-f473-ed11-81ab-000d3a2e48af" TargetMode="External"/><Relationship Id="rId60" Type="http://schemas.openxmlformats.org/officeDocument/2006/relationships/hyperlink" Target="https://areariservata.federgolf.it/Risultati/ViewDetail/f8bf9287-ab07-ee11-8f6e-6045bd8f124f" TargetMode="External"/><Relationship Id="rId69" Type="http://schemas.openxmlformats.org/officeDocument/2006/relationships/hyperlink" Target="https://areariservata.federgolf.it/Risultati/ViewDetail/48b08122-0e1b-ed11-b83e-002248818988" TargetMode="External"/><Relationship Id="rId51" Type="http://schemas.openxmlformats.org/officeDocument/2006/relationships/hyperlink" Target="https://areariservata.federgolf.it/Risultati/ViewDetail/2a63eceb-9ec2-ee11-9079-0022488aa2bc" TargetMode="External"/><Relationship Id="rId50" Type="http://schemas.openxmlformats.org/officeDocument/2006/relationships/hyperlink" Target="https://areariservata.federgolf.it/Risultati/ViewDetail/3f78abc6-eec8-ee11-9079-000d3a2e48af" TargetMode="External"/><Relationship Id="rId53" Type="http://schemas.openxmlformats.org/officeDocument/2006/relationships/hyperlink" Target="https://areariservata.federgolf.it/Risultati/ViewDetail/874b0da7-e1a7-ee11-be37-000d3a2e49e0" TargetMode="External"/><Relationship Id="rId52" Type="http://schemas.openxmlformats.org/officeDocument/2006/relationships/hyperlink" Target="https://areariservata.federgolf.it/Risultati/ViewDetail/aa396fed-64b8-ee11-a569-000d3a2e48d4" TargetMode="External"/><Relationship Id="rId55" Type="http://schemas.openxmlformats.org/officeDocument/2006/relationships/hyperlink" Target="https://areariservata.federgolf.it/Risultati/ViewDetail/42b02ee4-e15a-ee11-be6e-000d3a2e46dd" TargetMode="External"/><Relationship Id="rId54" Type="http://schemas.openxmlformats.org/officeDocument/2006/relationships/hyperlink" Target="https://areariservata.federgolf.it/Risultati/ViewDetail/ca2d277b-2e9c-ee11-be37-6045bd8800ef" TargetMode="External"/><Relationship Id="rId57" Type="http://schemas.openxmlformats.org/officeDocument/2006/relationships/hyperlink" Target="https://areariservata.federgolf.it/Risultati/ViewDetail/f33103c6-4f34-ee11-bdf4-000d3a2e49e0" TargetMode="External"/><Relationship Id="rId56" Type="http://schemas.openxmlformats.org/officeDocument/2006/relationships/hyperlink" Target="https://areariservata.federgolf.it/Risultati/ViewDetail/0847ed34-d657-ee11-be6e-6045bd8f124f" TargetMode="External"/><Relationship Id="rId59" Type="http://schemas.openxmlformats.org/officeDocument/2006/relationships/hyperlink" Target="https://areariservata.federgolf.it/Risultati/ViewDetail/d2eb74d1-f70d-ee11-8f6d-000d3a2e46dd" TargetMode="External"/><Relationship Id="rId58" Type="http://schemas.openxmlformats.org/officeDocument/2006/relationships/hyperlink" Target="https://areariservata.federgolf.it/Risultati/ViewDetail/aec2b3aa-1811-ee11-8f6d-000d3a2e48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38"/>
    <col customWidth="1" min="4" max="4" width="34.75"/>
    <col customWidth="1" min="7" max="7" width="21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s="3"/>
      <c r="B2" s="4"/>
      <c r="C2" s="4"/>
      <c r="D2" s="4"/>
      <c r="E2" s="4"/>
      <c r="F2" s="5"/>
      <c r="G2" s="4"/>
      <c r="H2" s="6"/>
      <c r="I2" s="6"/>
      <c r="J2" s="6"/>
      <c r="K2" s="6"/>
      <c r="L2" s="6"/>
      <c r="M2" s="4"/>
      <c r="N2" s="4"/>
      <c r="O2" s="4"/>
      <c r="P2" s="6"/>
      <c r="Q2" s="4"/>
      <c r="R2" s="6"/>
      <c r="S2" s="7">
        <v>10.5</v>
      </c>
      <c r="T2" s="9"/>
      <c r="U2" s="6"/>
      <c r="V2" s="6"/>
      <c r="W2" s="6"/>
      <c r="X2" s="6"/>
      <c r="Y2" s="5"/>
    </row>
    <row r="3">
      <c r="A3" s="3"/>
      <c r="B3" s="4"/>
      <c r="C3" s="4"/>
      <c r="D3" s="4"/>
      <c r="E3" s="4"/>
      <c r="F3" s="5"/>
      <c r="G3" s="4"/>
      <c r="H3" s="6"/>
      <c r="I3" s="6"/>
      <c r="J3" s="6"/>
      <c r="K3" s="6"/>
      <c r="L3" s="6"/>
      <c r="M3" s="4"/>
      <c r="N3" s="4"/>
      <c r="O3" s="4"/>
      <c r="P3" s="6"/>
      <c r="Q3" s="4"/>
      <c r="R3" s="6"/>
      <c r="S3" s="10">
        <v>10.5</v>
      </c>
      <c r="T3" s="9"/>
      <c r="U3" s="6"/>
      <c r="V3" s="6"/>
      <c r="W3" s="6"/>
      <c r="X3" s="6"/>
      <c r="Y3" s="5"/>
    </row>
    <row r="4">
      <c r="A4" s="15">
        <v>46026.0</v>
      </c>
      <c r="B4" s="4" t="s">
        <v>30</v>
      </c>
      <c r="C4" s="4">
        <v>1551.0</v>
      </c>
      <c r="D4" s="4" t="s">
        <v>32</v>
      </c>
      <c r="E4" s="4" t="s">
        <v>29</v>
      </c>
      <c r="F4" s="5"/>
      <c r="G4" s="4" t="s">
        <v>31</v>
      </c>
      <c r="H4" s="6">
        <v>1.0</v>
      </c>
      <c r="I4" s="6" t="s">
        <v>33</v>
      </c>
      <c r="J4" s="6">
        <v>9.0</v>
      </c>
      <c r="K4" s="6" t="s">
        <v>34</v>
      </c>
      <c r="L4" s="6">
        <v>5.0</v>
      </c>
      <c r="M4" s="4">
        <v>32.0</v>
      </c>
      <c r="N4" s="4" t="s">
        <v>35</v>
      </c>
      <c r="O4" s="4">
        <v>114.0</v>
      </c>
      <c r="P4" s="6">
        <v>19.0</v>
      </c>
      <c r="Q4" s="4">
        <v>36.0</v>
      </c>
      <c r="R4" s="6">
        <v>0.0</v>
      </c>
      <c r="S4" s="10">
        <v>10.8</v>
      </c>
      <c r="T4" s="9"/>
      <c r="U4" s="6" t="s">
        <v>37</v>
      </c>
      <c r="V4" s="6" t="s">
        <v>38</v>
      </c>
      <c r="W4" s="6" t="s">
        <v>39</v>
      </c>
      <c r="X4" s="6" t="s">
        <v>40</v>
      </c>
      <c r="Y4" s="5"/>
    </row>
    <row r="5" hidden="1">
      <c r="A5" s="24">
        <v>46022.0</v>
      </c>
      <c r="B5" s="4" t="s">
        <v>30</v>
      </c>
      <c r="C5" s="4">
        <v>1551.0</v>
      </c>
      <c r="D5" s="4" t="s">
        <v>46</v>
      </c>
      <c r="E5" s="4" t="s">
        <v>29</v>
      </c>
      <c r="F5" s="5"/>
      <c r="G5" s="4" t="s">
        <v>31</v>
      </c>
      <c r="H5" s="6">
        <v>1.0</v>
      </c>
      <c r="I5" s="6" t="s">
        <v>42</v>
      </c>
      <c r="J5" s="6">
        <v>9.0</v>
      </c>
      <c r="K5" s="6" t="s">
        <v>43</v>
      </c>
      <c r="L5" s="6">
        <v>5.0</v>
      </c>
      <c r="M5" s="4">
        <v>32.0</v>
      </c>
      <c r="N5" s="4" t="s">
        <v>35</v>
      </c>
      <c r="O5" s="4">
        <v>114.0</v>
      </c>
      <c r="P5" s="6">
        <v>19.0</v>
      </c>
      <c r="Q5" s="4">
        <v>0.0</v>
      </c>
      <c r="R5" s="9"/>
      <c r="S5" s="9"/>
      <c r="T5" s="9"/>
      <c r="U5" s="9"/>
      <c r="V5" s="6" t="s">
        <v>38</v>
      </c>
      <c r="W5" s="6" t="s">
        <v>38</v>
      </c>
      <c r="X5" s="6" t="s">
        <v>37</v>
      </c>
      <c r="Y5" s="5"/>
    </row>
    <row r="6" hidden="1">
      <c r="A6" s="24">
        <v>46019.0</v>
      </c>
      <c r="B6" s="4" t="s">
        <v>30</v>
      </c>
      <c r="C6" s="4">
        <v>1551.0</v>
      </c>
      <c r="D6" s="4" t="s">
        <v>48</v>
      </c>
      <c r="E6" s="4" t="s">
        <v>29</v>
      </c>
      <c r="F6" s="5"/>
      <c r="G6" s="4" t="s">
        <v>31</v>
      </c>
      <c r="H6" s="6">
        <v>1.0</v>
      </c>
      <c r="I6" s="6" t="s">
        <v>33</v>
      </c>
      <c r="J6" s="6">
        <v>9.0</v>
      </c>
      <c r="K6" s="6" t="s">
        <v>43</v>
      </c>
      <c r="L6" s="6">
        <v>5.0</v>
      </c>
      <c r="M6" s="4">
        <v>32.0</v>
      </c>
      <c r="N6" s="4" t="s">
        <v>35</v>
      </c>
      <c r="O6" s="4">
        <v>114.0</v>
      </c>
      <c r="P6" s="6" t="s">
        <v>45</v>
      </c>
      <c r="Q6" s="4">
        <v>0.0</v>
      </c>
      <c r="R6" s="9"/>
      <c r="S6" s="9"/>
      <c r="T6" s="9"/>
      <c r="U6" s="9"/>
      <c r="V6" s="6" t="s">
        <v>38</v>
      </c>
      <c r="W6" s="6" t="s">
        <v>38</v>
      </c>
      <c r="X6" s="6" t="s">
        <v>37</v>
      </c>
      <c r="Y6" s="5"/>
    </row>
    <row r="7" hidden="1">
      <c r="A7" s="15">
        <v>45998.0</v>
      </c>
      <c r="B7" s="4" t="s">
        <v>30</v>
      </c>
      <c r="C7" s="4">
        <v>1551.0</v>
      </c>
      <c r="D7" s="4" t="s">
        <v>52</v>
      </c>
      <c r="E7" s="4" t="s">
        <v>29</v>
      </c>
      <c r="F7" s="5"/>
      <c r="G7" s="4" t="s">
        <v>31</v>
      </c>
      <c r="H7" s="6">
        <v>1.0</v>
      </c>
      <c r="I7" s="6" t="s">
        <v>33</v>
      </c>
      <c r="J7" s="6">
        <v>9.0</v>
      </c>
      <c r="K7" s="6" t="s">
        <v>43</v>
      </c>
      <c r="L7" s="6">
        <v>5.0</v>
      </c>
      <c r="M7" s="4">
        <v>32.0</v>
      </c>
      <c r="N7" s="4" t="s">
        <v>35</v>
      </c>
      <c r="O7" s="4">
        <v>114.0</v>
      </c>
      <c r="P7" s="6" t="s">
        <v>45</v>
      </c>
      <c r="Q7" s="4">
        <v>0.0</v>
      </c>
      <c r="R7" s="9"/>
      <c r="S7" s="9"/>
      <c r="T7" s="9"/>
      <c r="U7" s="9"/>
      <c r="V7" s="6" t="s">
        <v>38</v>
      </c>
      <c r="W7" s="6" t="s">
        <v>38</v>
      </c>
      <c r="X7" s="6" t="s">
        <v>37</v>
      </c>
      <c r="Y7" s="5"/>
    </row>
    <row r="8">
      <c r="A8" s="24">
        <v>45991.0</v>
      </c>
      <c r="B8" s="4" t="s">
        <v>30</v>
      </c>
      <c r="C8" s="4">
        <v>1551.0</v>
      </c>
      <c r="D8" s="4" t="s">
        <v>57</v>
      </c>
      <c r="E8" s="4" t="s">
        <v>29</v>
      </c>
      <c r="F8" s="5"/>
      <c r="G8" s="4" t="s">
        <v>31</v>
      </c>
      <c r="H8" s="6">
        <v>1.0</v>
      </c>
      <c r="I8" s="6" t="s">
        <v>33</v>
      </c>
      <c r="J8" s="6">
        <v>9.0</v>
      </c>
      <c r="K8" s="6" t="s">
        <v>34</v>
      </c>
      <c r="L8" s="6">
        <v>5.0</v>
      </c>
      <c r="M8" s="4">
        <v>32.0</v>
      </c>
      <c r="N8" s="4" t="s">
        <v>35</v>
      </c>
      <c r="O8" s="4">
        <v>114.0</v>
      </c>
      <c r="P8" s="6">
        <v>17.0</v>
      </c>
      <c r="Q8" s="4">
        <v>38.0</v>
      </c>
      <c r="R8" s="6">
        <v>0.0</v>
      </c>
      <c r="S8" s="6">
        <v>12.7</v>
      </c>
      <c r="T8" s="9"/>
      <c r="U8" s="6" t="s">
        <v>37</v>
      </c>
      <c r="V8" s="6" t="s">
        <v>38</v>
      </c>
      <c r="W8" s="6" t="s">
        <v>38</v>
      </c>
      <c r="X8" s="6" t="s">
        <v>37</v>
      </c>
      <c r="Y8" s="5"/>
    </row>
    <row r="9" hidden="1">
      <c r="A9" s="24">
        <v>45955.0</v>
      </c>
      <c r="B9" s="4" t="s">
        <v>30</v>
      </c>
      <c r="C9" s="4">
        <v>1551.0</v>
      </c>
      <c r="D9" s="4" t="s">
        <v>60</v>
      </c>
      <c r="E9" s="4" t="s">
        <v>29</v>
      </c>
      <c r="F9" s="5"/>
      <c r="G9" s="4" t="s">
        <v>31</v>
      </c>
      <c r="H9" s="6">
        <v>1.0</v>
      </c>
      <c r="I9" s="6" t="s">
        <v>42</v>
      </c>
      <c r="J9" s="6">
        <v>18.0</v>
      </c>
      <c r="K9" s="6" t="s">
        <v>43</v>
      </c>
      <c r="L9" s="6">
        <v>10.0</v>
      </c>
      <c r="M9" s="4">
        <v>64.0</v>
      </c>
      <c r="N9" s="4" t="s">
        <v>44</v>
      </c>
      <c r="O9" s="4">
        <v>114.0</v>
      </c>
      <c r="P9" s="6">
        <v>41.0</v>
      </c>
      <c r="Q9" s="4">
        <v>0.0</v>
      </c>
      <c r="R9" s="9"/>
      <c r="S9" s="9"/>
      <c r="T9" s="9"/>
      <c r="U9" s="9"/>
      <c r="V9" s="6" t="s">
        <v>38</v>
      </c>
      <c r="W9" s="6" t="s">
        <v>38</v>
      </c>
      <c r="X9" s="6" t="s">
        <v>37</v>
      </c>
      <c r="Y9" s="5"/>
    </row>
    <row r="10" hidden="1">
      <c r="A10" s="15">
        <v>45916.0</v>
      </c>
      <c r="B10" s="4" t="s">
        <v>30</v>
      </c>
      <c r="C10" s="4">
        <v>1551.0</v>
      </c>
      <c r="D10" s="4" t="s">
        <v>63</v>
      </c>
      <c r="E10" s="4" t="s">
        <v>29</v>
      </c>
      <c r="F10" s="5"/>
      <c r="G10" s="4" t="s">
        <v>64</v>
      </c>
      <c r="H10" s="6">
        <v>1.0</v>
      </c>
      <c r="I10" s="6" t="s">
        <v>33</v>
      </c>
      <c r="J10" s="6">
        <v>18.0</v>
      </c>
      <c r="K10" s="6" t="s">
        <v>43</v>
      </c>
      <c r="L10" s="6">
        <v>11.0</v>
      </c>
      <c r="M10" s="4">
        <v>72.0</v>
      </c>
      <c r="N10" s="4" t="s">
        <v>65</v>
      </c>
      <c r="O10" s="4">
        <v>130.0</v>
      </c>
      <c r="P10" s="6" t="s">
        <v>66</v>
      </c>
      <c r="Q10" s="4">
        <v>0.0</v>
      </c>
      <c r="R10" s="9"/>
      <c r="S10" s="9"/>
      <c r="T10" s="9"/>
      <c r="U10" s="9"/>
      <c r="V10" s="6" t="s">
        <v>38</v>
      </c>
      <c r="W10" s="6" t="s">
        <v>38</v>
      </c>
      <c r="X10" s="6" t="s">
        <v>37</v>
      </c>
      <c r="Y10" s="5"/>
    </row>
    <row r="11" hidden="1">
      <c r="A11" s="15">
        <v>45913.0</v>
      </c>
      <c r="B11" s="4" t="s">
        <v>30</v>
      </c>
      <c r="C11" s="4">
        <v>1551.0</v>
      </c>
      <c r="D11" s="4" t="s">
        <v>67</v>
      </c>
      <c r="E11" s="4" t="s">
        <v>29</v>
      </c>
      <c r="F11" s="5"/>
      <c r="G11" s="4" t="s">
        <v>31</v>
      </c>
      <c r="H11" s="6">
        <v>1.0</v>
      </c>
      <c r="I11" s="6" t="s">
        <v>42</v>
      </c>
      <c r="J11" s="6">
        <v>18.0</v>
      </c>
      <c r="K11" s="6" t="s">
        <v>43</v>
      </c>
      <c r="L11" s="6">
        <v>10.0</v>
      </c>
      <c r="M11" s="4">
        <v>64.0</v>
      </c>
      <c r="N11" s="4" t="s">
        <v>44</v>
      </c>
      <c r="O11" s="4">
        <v>114.0</v>
      </c>
      <c r="P11" s="6">
        <v>35.0</v>
      </c>
      <c r="Q11" s="4">
        <v>0.0</v>
      </c>
      <c r="R11" s="9"/>
      <c r="S11" s="9"/>
      <c r="T11" s="9"/>
      <c r="U11" s="9"/>
      <c r="V11" s="6" t="s">
        <v>38</v>
      </c>
      <c r="W11" s="6" t="s">
        <v>38</v>
      </c>
      <c r="X11" s="6" t="s">
        <v>37</v>
      </c>
      <c r="Y11" s="5"/>
    </row>
    <row r="12" hidden="1">
      <c r="A12" s="15">
        <v>45836.0</v>
      </c>
      <c r="B12" s="4" t="s">
        <v>30</v>
      </c>
      <c r="C12" s="4">
        <v>1551.0</v>
      </c>
      <c r="D12" s="4" t="s">
        <v>68</v>
      </c>
      <c r="E12" s="4" t="s">
        <v>29</v>
      </c>
      <c r="F12" s="5"/>
      <c r="G12" s="4" t="s">
        <v>31</v>
      </c>
      <c r="H12" s="6">
        <v>1.0</v>
      </c>
      <c r="I12" s="6" t="s">
        <v>42</v>
      </c>
      <c r="J12" s="6">
        <v>18.0</v>
      </c>
      <c r="K12" s="6" t="s">
        <v>43</v>
      </c>
      <c r="L12" s="6">
        <v>10.0</v>
      </c>
      <c r="M12" s="4">
        <v>64.0</v>
      </c>
      <c r="N12" s="4" t="s">
        <v>44</v>
      </c>
      <c r="O12" s="4">
        <v>114.0</v>
      </c>
      <c r="P12" s="6">
        <v>33.0</v>
      </c>
      <c r="Q12" s="4">
        <v>0.0</v>
      </c>
      <c r="R12" s="9"/>
      <c r="S12" s="9"/>
      <c r="T12" s="9"/>
      <c r="U12" s="9"/>
      <c r="V12" s="6" t="s">
        <v>38</v>
      </c>
      <c r="W12" s="6" t="s">
        <v>38</v>
      </c>
      <c r="X12" s="6" t="s">
        <v>37</v>
      </c>
      <c r="Y12" s="5"/>
    </row>
    <row r="13" hidden="1">
      <c r="A13" s="15">
        <v>45822.0</v>
      </c>
      <c r="B13" s="4" t="s">
        <v>30</v>
      </c>
      <c r="C13" s="4">
        <v>1551.0</v>
      </c>
      <c r="D13" s="4" t="s">
        <v>69</v>
      </c>
      <c r="E13" s="4" t="s">
        <v>29</v>
      </c>
      <c r="F13" s="5"/>
      <c r="G13" s="4" t="s">
        <v>31</v>
      </c>
      <c r="H13" s="6">
        <v>1.0</v>
      </c>
      <c r="I13" s="6" t="s">
        <v>70</v>
      </c>
      <c r="J13" s="6">
        <v>18.0</v>
      </c>
      <c r="K13" s="6" t="s">
        <v>43</v>
      </c>
      <c r="L13" s="6">
        <v>10.0</v>
      </c>
      <c r="M13" s="4">
        <v>64.0</v>
      </c>
      <c r="N13" s="4" t="s">
        <v>44</v>
      </c>
      <c r="O13" s="4">
        <v>114.0</v>
      </c>
      <c r="P13" s="6">
        <v>52.0</v>
      </c>
      <c r="Q13" s="4">
        <v>0.0</v>
      </c>
      <c r="R13" s="9"/>
      <c r="S13" s="9"/>
      <c r="T13" s="9"/>
      <c r="U13" s="9"/>
      <c r="V13" s="6" t="s">
        <v>38</v>
      </c>
      <c r="W13" s="6" t="s">
        <v>38</v>
      </c>
      <c r="X13" s="6" t="s">
        <v>37</v>
      </c>
      <c r="Y13" s="5"/>
    </row>
    <row r="14" hidden="1">
      <c r="A14" s="15">
        <v>45794.0</v>
      </c>
      <c r="B14" s="4" t="s">
        <v>30</v>
      </c>
      <c r="C14" s="4">
        <v>1551.0</v>
      </c>
      <c r="D14" s="4" t="s">
        <v>71</v>
      </c>
      <c r="E14" s="4" t="s">
        <v>29</v>
      </c>
      <c r="F14" s="5"/>
      <c r="G14" s="4" t="s">
        <v>31</v>
      </c>
      <c r="H14" s="6">
        <v>1.0</v>
      </c>
      <c r="I14" s="6" t="s">
        <v>42</v>
      </c>
      <c r="J14" s="6">
        <v>18.0</v>
      </c>
      <c r="K14" s="6" t="s">
        <v>43</v>
      </c>
      <c r="L14" s="6">
        <v>10.0</v>
      </c>
      <c r="M14" s="4">
        <v>64.0</v>
      </c>
      <c r="N14" s="4" t="s">
        <v>44</v>
      </c>
      <c r="O14" s="4">
        <v>114.0</v>
      </c>
      <c r="P14" s="6">
        <v>34.0</v>
      </c>
      <c r="Q14" s="4">
        <v>0.0</v>
      </c>
      <c r="R14" s="9"/>
      <c r="S14" s="9"/>
      <c r="T14" s="9"/>
      <c r="U14" s="9"/>
      <c r="V14" s="6" t="s">
        <v>38</v>
      </c>
      <c r="W14" s="6" t="s">
        <v>38</v>
      </c>
      <c r="X14" s="6" t="s">
        <v>37</v>
      </c>
      <c r="Y14" s="5"/>
    </row>
    <row r="15" hidden="1">
      <c r="A15" s="15">
        <v>45788.0</v>
      </c>
      <c r="B15" s="4" t="s">
        <v>30</v>
      </c>
      <c r="C15" s="4">
        <v>1551.0</v>
      </c>
      <c r="D15" s="4" t="s">
        <v>72</v>
      </c>
      <c r="E15" s="4" t="s">
        <v>29</v>
      </c>
      <c r="F15" s="5"/>
      <c r="G15" s="4" t="s">
        <v>31</v>
      </c>
      <c r="H15" s="6">
        <v>1.0</v>
      </c>
      <c r="I15" s="6" t="s">
        <v>33</v>
      </c>
      <c r="J15" s="6">
        <v>9.0</v>
      </c>
      <c r="K15" s="6" t="s">
        <v>43</v>
      </c>
      <c r="L15" s="6">
        <v>5.0</v>
      </c>
      <c r="M15" s="4">
        <v>32.0</v>
      </c>
      <c r="N15" s="4" t="s">
        <v>35</v>
      </c>
      <c r="O15" s="4">
        <v>114.0</v>
      </c>
      <c r="P15" s="6" t="s">
        <v>45</v>
      </c>
      <c r="Q15" s="4">
        <v>0.0</v>
      </c>
      <c r="R15" s="9"/>
      <c r="S15" s="9"/>
      <c r="T15" s="9"/>
      <c r="U15" s="9"/>
      <c r="V15" s="6" t="s">
        <v>38</v>
      </c>
      <c r="W15" s="6" t="s">
        <v>38</v>
      </c>
      <c r="X15" s="6" t="s">
        <v>37</v>
      </c>
      <c r="Y15" s="5"/>
    </row>
    <row r="16" hidden="1">
      <c r="A16" s="15">
        <v>45766.0</v>
      </c>
      <c r="B16" s="4" t="s">
        <v>30</v>
      </c>
      <c r="C16" s="4">
        <v>1551.0</v>
      </c>
      <c r="D16" s="4" t="s">
        <v>73</v>
      </c>
      <c r="E16" s="4" t="s">
        <v>29</v>
      </c>
      <c r="F16" s="5"/>
      <c r="G16" s="4" t="s">
        <v>31</v>
      </c>
      <c r="H16" s="6">
        <v>1.0</v>
      </c>
      <c r="I16" s="6" t="s">
        <v>42</v>
      </c>
      <c r="J16" s="6">
        <v>18.0</v>
      </c>
      <c r="K16" s="6" t="s">
        <v>43</v>
      </c>
      <c r="L16" s="6">
        <v>10.0</v>
      </c>
      <c r="M16" s="4">
        <v>64.0</v>
      </c>
      <c r="N16" s="4" t="s">
        <v>44</v>
      </c>
      <c r="O16" s="4">
        <v>114.0</v>
      </c>
      <c r="P16" s="6">
        <v>37.0</v>
      </c>
      <c r="Q16" s="4">
        <v>0.0</v>
      </c>
      <c r="R16" s="9"/>
      <c r="S16" s="9"/>
      <c r="T16" s="9"/>
      <c r="U16" s="9"/>
      <c r="V16" s="6" t="s">
        <v>38</v>
      </c>
      <c r="W16" s="6" t="s">
        <v>38</v>
      </c>
      <c r="X16" s="6" t="s">
        <v>37</v>
      </c>
      <c r="Y16" s="5"/>
    </row>
    <row r="17" hidden="1">
      <c r="A17" s="15">
        <v>45759.0</v>
      </c>
      <c r="B17" s="4" t="s">
        <v>30</v>
      </c>
      <c r="C17" s="4">
        <v>1551.0</v>
      </c>
      <c r="D17" s="4" t="s">
        <v>74</v>
      </c>
      <c r="E17" s="4" t="s">
        <v>29</v>
      </c>
      <c r="F17" s="5"/>
      <c r="G17" s="4" t="s">
        <v>75</v>
      </c>
      <c r="H17" s="6">
        <v>1.0</v>
      </c>
      <c r="I17" s="6" t="s">
        <v>76</v>
      </c>
      <c r="J17" s="6">
        <v>18.0</v>
      </c>
      <c r="K17" s="6" t="s">
        <v>43</v>
      </c>
      <c r="L17" s="6">
        <v>9.0</v>
      </c>
      <c r="M17" s="4">
        <v>72.0</v>
      </c>
      <c r="N17" s="4" t="s">
        <v>77</v>
      </c>
      <c r="O17" s="4">
        <v>127.0</v>
      </c>
      <c r="P17" s="6">
        <v>27.0</v>
      </c>
      <c r="Q17" s="4">
        <v>0.0</v>
      </c>
      <c r="R17" s="9"/>
      <c r="S17" s="9"/>
      <c r="T17" s="9"/>
      <c r="U17" s="9"/>
      <c r="V17" s="6" t="s">
        <v>38</v>
      </c>
      <c r="W17" s="6" t="s">
        <v>38</v>
      </c>
      <c r="X17" s="6" t="s">
        <v>37</v>
      </c>
      <c r="Y17" s="5"/>
    </row>
    <row r="18" hidden="1">
      <c r="A18" s="15">
        <v>45739.0</v>
      </c>
      <c r="B18" s="4" t="s">
        <v>30</v>
      </c>
      <c r="C18" s="4">
        <v>1551.0</v>
      </c>
      <c r="D18" s="4" t="s">
        <v>78</v>
      </c>
      <c r="E18" s="4" t="s">
        <v>29</v>
      </c>
      <c r="F18" s="5"/>
      <c r="G18" s="4" t="s">
        <v>75</v>
      </c>
      <c r="H18" s="6">
        <v>1.0</v>
      </c>
      <c r="I18" s="6" t="s">
        <v>76</v>
      </c>
      <c r="J18" s="6">
        <v>18.0</v>
      </c>
      <c r="K18" s="6" t="s">
        <v>43</v>
      </c>
      <c r="L18" s="6">
        <v>9.0</v>
      </c>
      <c r="M18" s="4">
        <v>72.0</v>
      </c>
      <c r="N18" s="4" t="s">
        <v>77</v>
      </c>
      <c r="O18" s="4">
        <v>127.0</v>
      </c>
      <c r="P18" s="6">
        <v>39.0</v>
      </c>
      <c r="Q18" s="4">
        <v>0.0</v>
      </c>
      <c r="R18" s="9"/>
      <c r="S18" s="9"/>
      <c r="T18" s="9"/>
      <c r="U18" s="9"/>
      <c r="V18" s="6" t="s">
        <v>38</v>
      </c>
      <c r="W18" s="6" t="s">
        <v>38</v>
      </c>
      <c r="X18" s="6" t="s">
        <v>37</v>
      </c>
      <c r="Y18" s="5"/>
    </row>
    <row r="19" hidden="1">
      <c r="A19" s="15">
        <v>45738.0</v>
      </c>
      <c r="B19" s="4" t="s">
        <v>30</v>
      </c>
      <c r="C19" s="4">
        <v>1551.0</v>
      </c>
      <c r="D19" s="4" t="s">
        <v>79</v>
      </c>
      <c r="E19" s="4" t="s">
        <v>29</v>
      </c>
      <c r="F19" s="5"/>
      <c r="G19" s="4" t="s">
        <v>80</v>
      </c>
      <c r="H19" s="6">
        <v>1.0</v>
      </c>
      <c r="I19" s="6" t="s">
        <v>76</v>
      </c>
      <c r="J19" s="6">
        <v>18.0</v>
      </c>
      <c r="K19" s="6" t="s">
        <v>43</v>
      </c>
      <c r="L19" s="6">
        <v>9.0</v>
      </c>
      <c r="M19" s="4">
        <v>72.0</v>
      </c>
      <c r="N19" s="4" t="s">
        <v>81</v>
      </c>
      <c r="O19" s="4">
        <v>125.0</v>
      </c>
      <c r="P19" s="6">
        <v>40.0</v>
      </c>
      <c r="Q19" s="4">
        <v>0.0</v>
      </c>
      <c r="R19" s="9"/>
      <c r="S19" s="9"/>
      <c r="T19" s="9"/>
      <c r="U19" s="9"/>
      <c r="V19" s="6" t="s">
        <v>38</v>
      </c>
      <c r="W19" s="6" t="s">
        <v>38</v>
      </c>
      <c r="X19" s="6" t="s">
        <v>37</v>
      </c>
      <c r="Y19" s="5"/>
    </row>
    <row r="20" hidden="1">
      <c r="A20" s="15">
        <v>45725.0</v>
      </c>
      <c r="B20" s="4" t="s">
        <v>30</v>
      </c>
      <c r="C20" s="4">
        <v>1551.0</v>
      </c>
      <c r="D20" s="4" t="s">
        <v>83</v>
      </c>
      <c r="E20" s="4" t="s">
        <v>29</v>
      </c>
      <c r="F20" s="5"/>
      <c r="G20" s="4" t="s">
        <v>31</v>
      </c>
      <c r="H20" s="6">
        <v>1.0</v>
      </c>
      <c r="I20" s="6" t="s">
        <v>33</v>
      </c>
      <c r="J20" s="6">
        <v>9.0</v>
      </c>
      <c r="K20" s="6" t="s">
        <v>43</v>
      </c>
      <c r="L20" s="6">
        <v>5.0</v>
      </c>
      <c r="M20" s="4">
        <v>32.0</v>
      </c>
      <c r="N20" s="4" t="s">
        <v>35</v>
      </c>
      <c r="O20" s="4">
        <v>114.0</v>
      </c>
      <c r="P20" s="6" t="s">
        <v>45</v>
      </c>
      <c r="Q20" s="4">
        <v>0.0</v>
      </c>
      <c r="R20" s="9"/>
      <c r="S20" s="9"/>
      <c r="T20" s="9"/>
      <c r="U20" s="9"/>
      <c r="V20" s="6" t="s">
        <v>38</v>
      </c>
      <c r="W20" s="6" t="s">
        <v>38</v>
      </c>
      <c r="X20" s="6" t="s">
        <v>37</v>
      </c>
      <c r="Y20" s="5"/>
    </row>
    <row r="21" hidden="1">
      <c r="A21" s="15">
        <v>45710.0</v>
      </c>
      <c r="B21" s="4" t="s">
        <v>30</v>
      </c>
      <c r="C21" s="4">
        <v>1551.0</v>
      </c>
      <c r="D21" s="4" t="s">
        <v>84</v>
      </c>
      <c r="E21" s="4" t="s">
        <v>29</v>
      </c>
      <c r="F21" s="5"/>
      <c r="G21" s="4" t="s">
        <v>31</v>
      </c>
      <c r="H21" s="6">
        <v>1.0</v>
      </c>
      <c r="I21" s="6" t="s">
        <v>70</v>
      </c>
      <c r="J21" s="6">
        <v>9.0</v>
      </c>
      <c r="K21" s="6" t="s">
        <v>43</v>
      </c>
      <c r="L21" s="6">
        <v>5.0</v>
      </c>
      <c r="M21" s="4">
        <v>32.0</v>
      </c>
      <c r="N21" s="4" t="s">
        <v>35</v>
      </c>
      <c r="O21" s="4">
        <v>114.0</v>
      </c>
      <c r="P21" s="6">
        <v>26.0</v>
      </c>
      <c r="Q21" s="4">
        <v>0.0</v>
      </c>
      <c r="R21" s="9"/>
      <c r="S21" s="9"/>
      <c r="T21" s="9"/>
      <c r="U21" s="9"/>
      <c r="V21" s="6" t="s">
        <v>38</v>
      </c>
      <c r="W21" s="6" t="s">
        <v>38</v>
      </c>
      <c r="X21" s="6" t="s">
        <v>37</v>
      </c>
      <c r="Y21" s="5"/>
    </row>
    <row r="22" hidden="1">
      <c r="A22" s="15">
        <v>45675.0</v>
      </c>
      <c r="B22" s="4" t="s">
        <v>30</v>
      </c>
      <c r="C22" s="4">
        <v>1551.0</v>
      </c>
      <c r="D22" s="4" t="s">
        <v>85</v>
      </c>
      <c r="E22" s="4" t="s">
        <v>29</v>
      </c>
      <c r="F22" s="5"/>
      <c r="G22" s="4" t="s">
        <v>31</v>
      </c>
      <c r="H22" s="6">
        <v>1.0</v>
      </c>
      <c r="I22" s="6" t="s">
        <v>76</v>
      </c>
      <c r="J22" s="6">
        <v>9.0</v>
      </c>
      <c r="K22" s="6" t="s">
        <v>43</v>
      </c>
      <c r="L22" s="6">
        <v>5.0</v>
      </c>
      <c r="M22" s="4">
        <v>32.0</v>
      </c>
      <c r="N22" s="4" t="s">
        <v>35</v>
      </c>
      <c r="O22" s="4">
        <v>114.0</v>
      </c>
      <c r="P22" s="6">
        <v>16.0</v>
      </c>
      <c r="Q22" s="4">
        <v>0.0</v>
      </c>
      <c r="R22" s="9"/>
      <c r="S22" s="9"/>
      <c r="T22" s="9"/>
      <c r="U22" s="9"/>
      <c r="V22" s="6" t="s">
        <v>38</v>
      </c>
      <c r="W22" s="6" t="s">
        <v>38</v>
      </c>
      <c r="X22" s="6" t="s">
        <v>37</v>
      </c>
      <c r="Y22" s="5"/>
    </row>
    <row r="23" hidden="1">
      <c r="A23" s="15">
        <v>45668.0</v>
      </c>
      <c r="B23" s="4" t="s">
        <v>30</v>
      </c>
      <c r="C23" s="4">
        <v>1551.0</v>
      </c>
      <c r="D23" s="4" t="s">
        <v>85</v>
      </c>
      <c r="E23" s="4" t="s">
        <v>29</v>
      </c>
      <c r="F23" s="5"/>
      <c r="G23" s="4" t="s">
        <v>31</v>
      </c>
      <c r="H23" s="6">
        <v>1.0</v>
      </c>
      <c r="I23" s="6" t="s">
        <v>42</v>
      </c>
      <c r="J23" s="6">
        <v>9.0</v>
      </c>
      <c r="K23" s="6" t="s">
        <v>43</v>
      </c>
      <c r="L23" s="6">
        <v>5.0</v>
      </c>
      <c r="M23" s="4">
        <v>32.0</v>
      </c>
      <c r="N23" s="4" t="s">
        <v>35</v>
      </c>
      <c r="O23" s="4">
        <v>114.0</v>
      </c>
      <c r="P23" s="6">
        <v>19.0</v>
      </c>
      <c r="Q23" s="4">
        <v>0.0</v>
      </c>
      <c r="R23" s="9"/>
      <c r="S23" s="9"/>
      <c r="T23" s="9"/>
      <c r="U23" s="9"/>
      <c r="V23" s="6" t="s">
        <v>38</v>
      </c>
      <c r="W23" s="6" t="s">
        <v>38</v>
      </c>
      <c r="X23" s="6" t="s">
        <v>37</v>
      </c>
      <c r="Y23" s="5"/>
    </row>
    <row r="24" hidden="1">
      <c r="A24" s="24">
        <v>45654.0</v>
      </c>
      <c r="B24" s="4" t="s">
        <v>30</v>
      </c>
      <c r="C24" s="4">
        <v>1551.0</v>
      </c>
      <c r="D24" s="4" t="s">
        <v>86</v>
      </c>
      <c r="E24" s="4" t="s">
        <v>29</v>
      </c>
      <c r="F24" s="5"/>
      <c r="G24" s="4" t="s">
        <v>31</v>
      </c>
      <c r="H24" s="6">
        <v>1.0</v>
      </c>
      <c r="I24" s="6" t="s">
        <v>42</v>
      </c>
      <c r="J24" s="6">
        <v>9.0</v>
      </c>
      <c r="K24" s="6" t="s">
        <v>43</v>
      </c>
      <c r="L24" s="6">
        <v>5.0</v>
      </c>
      <c r="M24" s="4">
        <v>32.0</v>
      </c>
      <c r="N24" s="4" t="s">
        <v>35</v>
      </c>
      <c r="O24" s="4">
        <v>114.0</v>
      </c>
      <c r="P24" s="6">
        <v>17.0</v>
      </c>
      <c r="Q24" s="4">
        <v>0.0</v>
      </c>
      <c r="R24" s="9"/>
      <c r="S24" s="9"/>
      <c r="T24" s="9"/>
      <c r="U24" s="9"/>
      <c r="V24" s="6" t="s">
        <v>38</v>
      </c>
      <c r="W24" s="6" t="s">
        <v>38</v>
      </c>
      <c r="X24" s="6" t="s">
        <v>37</v>
      </c>
      <c r="Y24" s="5"/>
    </row>
    <row r="25">
      <c r="A25" s="24">
        <v>45636.0</v>
      </c>
      <c r="B25" s="4" t="s">
        <v>30</v>
      </c>
      <c r="C25" s="4">
        <v>1551.0</v>
      </c>
      <c r="D25" s="4" t="s">
        <v>87</v>
      </c>
      <c r="E25" s="4" t="s">
        <v>29</v>
      </c>
      <c r="F25" s="5"/>
      <c r="G25" s="4" t="s">
        <v>31</v>
      </c>
      <c r="H25" s="6">
        <v>1.0</v>
      </c>
      <c r="I25" s="6" t="s">
        <v>33</v>
      </c>
      <c r="J25" s="6">
        <v>9.0</v>
      </c>
      <c r="K25" s="6" t="s">
        <v>34</v>
      </c>
      <c r="L25" s="6">
        <v>5.0</v>
      </c>
      <c r="M25" s="4">
        <v>32.0</v>
      </c>
      <c r="N25" s="4" t="s">
        <v>35</v>
      </c>
      <c r="O25" s="4">
        <v>114.0</v>
      </c>
      <c r="P25" s="6">
        <v>23.0</v>
      </c>
      <c r="Q25" s="4">
        <v>32.0</v>
      </c>
      <c r="R25" s="6">
        <v>0.0</v>
      </c>
      <c r="S25" s="10">
        <v>7.2</v>
      </c>
      <c r="T25" s="9"/>
      <c r="U25" s="6" t="s">
        <v>37</v>
      </c>
      <c r="V25" s="6" t="s">
        <v>88</v>
      </c>
      <c r="W25" s="6" t="s">
        <v>38</v>
      </c>
      <c r="X25" s="6" t="s">
        <v>89</v>
      </c>
      <c r="Y25" s="5"/>
    </row>
    <row r="26" hidden="1">
      <c r="A26" s="15">
        <v>45633.0</v>
      </c>
      <c r="B26" s="4" t="s">
        <v>30</v>
      </c>
      <c r="C26" s="4">
        <v>1551.0</v>
      </c>
      <c r="D26" s="4" t="s">
        <v>90</v>
      </c>
      <c r="E26" s="4" t="s">
        <v>29</v>
      </c>
      <c r="F26" s="5"/>
      <c r="G26" s="4" t="s">
        <v>31</v>
      </c>
      <c r="H26" s="6">
        <v>1.0</v>
      </c>
      <c r="I26" s="6" t="s">
        <v>42</v>
      </c>
      <c r="J26" s="6">
        <v>9.0</v>
      </c>
      <c r="K26" s="6" t="s">
        <v>43</v>
      </c>
      <c r="L26" s="6">
        <v>5.0</v>
      </c>
      <c r="M26" s="4">
        <v>32.0</v>
      </c>
      <c r="N26" s="4" t="s">
        <v>35</v>
      </c>
      <c r="O26" s="4">
        <v>114.0</v>
      </c>
      <c r="P26" s="6">
        <v>18.0</v>
      </c>
      <c r="Q26" s="4">
        <v>0.0</v>
      </c>
      <c r="R26" s="9"/>
      <c r="S26" s="9"/>
      <c r="T26" s="9"/>
      <c r="U26" s="9"/>
      <c r="V26" s="6" t="s">
        <v>88</v>
      </c>
      <c r="W26" s="6" t="s">
        <v>88</v>
      </c>
      <c r="X26" s="6" t="s">
        <v>37</v>
      </c>
      <c r="Y26" s="5"/>
    </row>
    <row r="27" hidden="1">
      <c r="A27" s="15">
        <v>45599.0</v>
      </c>
      <c r="B27" s="4" t="s">
        <v>30</v>
      </c>
      <c r="C27" s="4">
        <v>1551.0</v>
      </c>
      <c r="D27" s="4" t="s">
        <v>91</v>
      </c>
      <c r="E27" s="4" t="s">
        <v>29</v>
      </c>
      <c r="F27" s="5"/>
      <c r="G27" s="4" t="s">
        <v>31</v>
      </c>
      <c r="H27" s="6">
        <v>1.0</v>
      </c>
      <c r="I27" s="6" t="s">
        <v>33</v>
      </c>
      <c r="J27" s="6">
        <v>9.0</v>
      </c>
      <c r="K27" s="6" t="s">
        <v>43</v>
      </c>
      <c r="L27" s="6">
        <v>5.0</v>
      </c>
      <c r="M27" s="4">
        <v>32.0</v>
      </c>
      <c r="N27" s="4" t="s">
        <v>35</v>
      </c>
      <c r="O27" s="4">
        <v>114.0</v>
      </c>
      <c r="P27" s="6" t="s">
        <v>45</v>
      </c>
      <c r="Q27" s="4">
        <v>0.0</v>
      </c>
      <c r="R27" s="9"/>
      <c r="S27" s="9"/>
      <c r="T27" s="9"/>
      <c r="U27" s="9"/>
      <c r="V27" s="6" t="s">
        <v>88</v>
      </c>
      <c r="W27" s="6" t="s">
        <v>88</v>
      </c>
      <c r="X27" s="6" t="s">
        <v>37</v>
      </c>
      <c r="Y27" s="5"/>
    </row>
    <row r="28" hidden="1">
      <c r="A28" s="15">
        <v>45570.0</v>
      </c>
      <c r="B28" s="4" t="s">
        <v>30</v>
      </c>
      <c r="C28" s="4">
        <v>1551.0</v>
      </c>
      <c r="D28" s="4" t="s">
        <v>92</v>
      </c>
      <c r="E28" s="4" t="s">
        <v>29</v>
      </c>
      <c r="F28" s="5"/>
      <c r="G28" s="4" t="s">
        <v>31</v>
      </c>
      <c r="H28" s="6">
        <v>1.0</v>
      </c>
      <c r="I28" s="6" t="s">
        <v>42</v>
      </c>
      <c r="J28" s="6">
        <v>18.0</v>
      </c>
      <c r="K28" s="6" t="s">
        <v>43</v>
      </c>
      <c r="L28" s="6">
        <v>11.0</v>
      </c>
      <c r="M28" s="4">
        <v>64.0</v>
      </c>
      <c r="N28" s="4" t="s">
        <v>44</v>
      </c>
      <c r="O28" s="4">
        <v>114.0</v>
      </c>
      <c r="P28" s="6">
        <v>47.0</v>
      </c>
      <c r="Q28" s="4">
        <v>0.0</v>
      </c>
      <c r="R28" s="9"/>
      <c r="S28" s="9"/>
      <c r="T28" s="9"/>
      <c r="U28" s="9"/>
      <c r="V28" s="6" t="s">
        <v>93</v>
      </c>
      <c r="W28" s="6" t="s">
        <v>93</v>
      </c>
      <c r="X28" s="6" t="s">
        <v>37</v>
      </c>
      <c r="Y28" s="5"/>
    </row>
    <row r="29">
      <c r="A29" s="15">
        <v>45569.0</v>
      </c>
      <c r="B29" s="4" t="s">
        <v>30</v>
      </c>
      <c r="C29" s="4">
        <v>1551.0</v>
      </c>
      <c r="D29" s="4" t="s">
        <v>94</v>
      </c>
      <c r="E29" s="4" t="s">
        <v>29</v>
      </c>
      <c r="F29" s="5"/>
      <c r="G29" s="4" t="s">
        <v>31</v>
      </c>
      <c r="H29" s="6">
        <v>1.0</v>
      </c>
      <c r="I29" s="6" t="s">
        <v>33</v>
      </c>
      <c r="J29" s="6">
        <v>9.0</v>
      </c>
      <c r="K29" s="6" t="s">
        <v>34</v>
      </c>
      <c r="L29" s="6">
        <v>6.0</v>
      </c>
      <c r="M29" s="4">
        <v>32.0</v>
      </c>
      <c r="N29" s="4" t="s">
        <v>35</v>
      </c>
      <c r="O29" s="4">
        <v>114.0</v>
      </c>
      <c r="P29" s="6">
        <v>24.0</v>
      </c>
      <c r="Q29" s="4">
        <v>32.0</v>
      </c>
      <c r="R29" s="6">
        <v>0.0</v>
      </c>
      <c r="S29" s="10">
        <v>7.6</v>
      </c>
      <c r="T29" s="9"/>
      <c r="U29" s="6" t="s">
        <v>37</v>
      </c>
      <c r="V29" s="6" t="s">
        <v>93</v>
      </c>
      <c r="W29" s="6" t="s">
        <v>88</v>
      </c>
      <c r="X29" s="6" t="s">
        <v>95</v>
      </c>
      <c r="Y29" s="5"/>
    </row>
    <row r="30">
      <c r="A30" s="15">
        <v>45557.0</v>
      </c>
      <c r="B30" s="4" t="s">
        <v>30</v>
      </c>
      <c r="C30" s="4">
        <v>1551.0</v>
      </c>
      <c r="D30" s="4" t="s">
        <v>72</v>
      </c>
      <c r="E30" s="4" t="s">
        <v>29</v>
      </c>
      <c r="F30" s="5"/>
      <c r="G30" s="4" t="s">
        <v>31</v>
      </c>
      <c r="H30" s="6">
        <v>1.0</v>
      </c>
      <c r="I30" s="6" t="s">
        <v>33</v>
      </c>
      <c r="J30" s="6">
        <v>9.0</v>
      </c>
      <c r="K30" s="6" t="s">
        <v>34</v>
      </c>
      <c r="L30" s="6">
        <v>6.0</v>
      </c>
      <c r="M30" s="4">
        <v>32.0</v>
      </c>
      <c r="N30" s="4" t="s">
        <v>35</v>
      </c>
      <c r="O30" s="4">
        <v>114.0</v>
      </c>
      <c r="P30" s="6">
        <v>17.0</v>
      </c>
      <c r="Q30" s="4">
        <v>39.0</v>
      </c>
      <c r="R30" s="6">
        <v>0.0</v>
      </c>
      <c r="S30" s="6">
        <v>14.5</v>
      </c>
      <c r="T30" s="9"/>
      <c r="U30" s="6" t="s">
        <v>37</v>
      </c>
      <c r="V30" s="6" t="s">
        <v>93</v>
      </c>
      <c r="W30" s="6" t="s">
        <v>93</v>
      </c>
      <c r="X30" s="6" t="s">
        <v>37</v>
      </c>
      <c r="Y30" s="5"/>
    </row>
    <row r="31" hidden="1">
      <c r="A31" s="15">
        <v>45536.0</v>
      </c>
      <c r="B31" s="4" t="s">
        <v>30</v>
      </c>
      <c r="C31" s="4">
        <v>1551.0</v>
      </c>
      <c r="D31" s="4" t="s">
        <v>96</v>
      </c>
      <c r="E31" s="4" t="s">
        <v>29</v>
      </c>
      <c r="F31" s="5"/>
      <c r="G31" s="4" t="s">
        <v>31</v>
      </c>
      <c r="H31" s="6">
        <v>1.0</v>
      </c>
      <c r="I31" s="6" t="s">
        <v>33</v>
      </c>
      <c r="J31" s="6">
        <v>9.0</v>
      </c>
      <c r="K31" s="6" t="s">
        <v>43</v>
      </c>
      <c r="L31" s="6">
        <v>6.0</v>
      </c>
      <c r="M31" s="4">
        <v>32.0</v>
      </c>
      <c r="N31" s="4" t="s">
        <v>35</v>
      </c>
      <c r="O31" s="4">
        <v>114.0</v>
      </c>
      <c r="P31" s="6" t="s">
        <v>45</v>
      </c>
      <c r="Q31" s="4">
        <v>0.0</v>
      </c>
      <c r="R31" s="9"/>
      <c r="S31" s="9"/>
      <c r="T31" s="9"/>
      <c r="U31" s="9"/>
      <c r="V31" s="6" t="s">
        <v>93</v>
      </c>
      <c r="W31" s="6" t="s">
        <v>93</v>
      </c>
      <c r="X31" s="6" t="s">
        <v>37</v>
      </c>
      <c r="Y31" s="5"/>
    </row>
    <row r="32" hidden="1">
      <c r="A32" s="15">
        <v>45500.0</v>
      </c>
      <c r="B32" s="4" t="s">
        <v>30</v>
      </c>
      <c r="C32" s="4">
        <v>1551.0</v>
      </c>
      <c r="D32" s="4" t="s">
        <v>97</v>
      </c>
      <c r="E32" s="4" t="s">
        <v>29</v>
      </c>
      <c r="F32" s="5"/>
      <c r="G32" s="4" t="s">
        <v>31</v>
      </c>
      <c r="H32" s="6">
        <v>1.0</v>
      </c>
      <c r="I32" s="6" t="s">
        <v>42</v>
      </c>
      <c r="J32" s="6">
        <v>9.0</v>
      </c>
      <c r="K32" s="6" t="s">
        <v>43</v>
      </c>
      <c r="L32" s="6">
        <v>6.0</v>
      </c>
      <c r="M32" s="4">
        <v>32.0</v>
      </c>
      <c r="N32" s="4" t="s">
        <v>35</v>
      </c>
      <c r="O32" s="4">
        <v>114.0</v>
      </c>
      <c r="P32" s="6">
        <v>19.0</v>
      </c>
      <c r="Q32" s="4">
        <v>0.0</v>
      </c>
      <c r="R32" s="9"/>
      <c r="S32" s="9"/>
      <c r="T32" s="9"/>
      <c r="U32" s="9"/>
      <c r="V32" s="6" t="s">
        <v>93</v>
      </c>
      <c r="W32" s="6" t="s">
        <v>93</v>
      </c>
      <c r="X32" s="6" t="s">
        <v>37</v>
      </c>
      <c r="Y32" s="5"/>
    </row>
    <row r="33" hidden="1">
      <c r="A33" s="15">
        <v>45480.0</v>
      </c>
      <c r="B33" s="4" t="s">
        <v>30</v>
      </c>
      <c r="C33" s="4">
        <v>1551.0</v>
      </c>
      <c r="D33" s="4" t="s">
        <v>98</v>
      </c>
      <c r="E33" s="4" t="s">
        <v>29</v>
      </c>
      <c r="F33" s="5"/>
      <c r="G33" s="4" t="s">
        <v>31</v>
      </c>
      <c r="H33" s="6">
        <v>1.0</v>
      </c>
      <c r="I33" s="6" t="s">
        <v>33</v>
      </c>
      <c r="J33" s="6">
        <v>9.0</v>
      </c>
      <c r="K33" s="6" t="s">
        <v>43</v>
      </c>
      <c r="L33" s="6">
        <v>6.0</v>
      </c>
      <c r="M33" s="4">
        <v>32.0</v>
      </c>
      <c r="N33" s="4" t="s">
        <v>35</v>
      </c>
      <c r="O33" s="4">
        <v>114.0</v>
      </c>
      <c r="P33" s="6" t="s">
        <v>59</v>
      </c>
      <c r="Q33" s="4">
        <v>0.0</v>
      </c>
      <c r="R33" s="9"/>
      <c r="S33" s="9"/>
      <c r="T33" s="9"/>
      <c r="U33" s="9"/>
      <c r="V33" s="6" t="s">
        <v>93</v>
      </c>
      <c r="W33" s="6" t="s">
        <v>93</v>
      </c>
      <c r="X33" s="6" t="s">
        <v>37</v>
      </c>
      <c r="Y33" s="5"/>
    </row>
    <row r="34">
      <c r="A34" s="15">
        <v>45448.0</v>
      </c>
      <c r="B34" s="4" t="s">
        <v>30</v>
      </c>
      <c r="C34" s="4">
        <v>1551.0</v>
      </c>
      <c r="D34" s="4" t="s">
        <v>99</v>
      </c>
      <c r="E34" s="4" t="s">
        <v>29</v>
      </c>
      <c r="F34" s="5"/>
      <c r="G34" s="4" t="s">
        <v>54</v>
      </c>
      <c r="H34" s="6">
        <v>1.0</v>
      </c>
      <c r="I34" s="6" t="s">
        <v>33</v>
      </c>
      <c r="J34" s="6">
        <v>18.0</v>
      </c>
      <c r="K34" s="6" t="s">
        <v>62</v>
      </c>
      <c r="L34" s="6">
        <v>14.0</v>
      </c>
      <c r="M34" s="4">
        <v>72.0</v>
      </c>
      <c r="N34" s="4" t="s">
        <v>55</v>
      </c>
      <c r="O34" s="4">
        <v>133.0</v>
      </c>
      <c r="P34" s="6">
        <v>30.0</v>
      </c>
      <c r="Q34" s="4">
        <v>92.0</v>
      </c>
      <c r="R34" s="6">
        <v>1.0</v>
      </c>
      <c r="S34" s="6">
        <v>16.1</v>
      </c>
      <c r="T34" s="9"/>
      <c r="U34" s="6" t="s">
        <v>37</v>
      </c>
      <c r="V34" s="6" t="s">
        <v>93</v>
      </c>
      <c r="W34" s="6" t="s">
        <v>93</v>
      </c>
      <c r="X34" s="6" t="s">
        <v>37</v>
      </c>
      <c r="Y34" s="5"/>
    </row>
    <row r="35" hidden="1">
      <c r="A35" s="15">
        <v>45444.0</v>
      </c>
      <c r="B35" s="4" t="s">
        <v>30</v>
      </c>
      <c r="C35" s="4">
        <v>1551.0</v>
      </c>
      <c r="D35" s="4" t="s">
        <v>100</v>
      </c>
      <c r="E35" s="4" t="s">
        <v>29</v>
      </c>
      <c r="F35" s="5"/>
      <c r="G35" s="4" t="s">
        <v>31</v>
      </c>
      <c r="H35" s="6">
        <v>1.0</v>
      </c>
      <c r="I35" s="6" t="s">
        <v>101</v>
      </c>
      <c r="J35" s="6">
        <v>9.0</v>
      </c>
      <c r="K35" s="6" t="s">
        <v>43</v>
      </c>
      <c r="L35" s="6">
        <v>6.0</v>
      </c>
      <c r="M35" s="4">
        <v>32.0</v>
      </c>
      <c r="N35" s="4" t="s">
        <v>35</v>
      </c>
      <c r="O35" s="4">
        <v>114.0</v>
      </c>
      <c r="P35" s="6">
        <v>15.0</v>
      </c>
      <c r="Q35" s="4">
        <v>0.0</v>
      </c>
      <c r="R35" s="9"/>
      <c r="S35" s="9"/>
      <c r="T35" s="9"/>
      <c r="U35" s="9"/>
      <c r="V35" s="6" t="s">
        <v>93</v>
      </c>
      <c r="W35" s="6" t="s">
        <v>93</v>
      </c>
      <c r="X35" s="6" t="s">
        <v>37</v>
      </c>
      <c r="Y35" s="5"/>
    </row>
    <row r="36" hidden="1">
      <c r="A36" s="15">
        <v>45437.0</v>
      </c>
      <c r="B36" s="4" t="s">
        <v>30</v>
      </c>
      <c r="C36" s="4">
        <v>1551.0</v>
      </c>
      <c r="D36" s="4" t="s">
        <v>102</v>
      </c>
      <c r="E36" s="4" t="s">
        <v>29</v>
      </c>
      <c r="F36" s="5"/>
      <c r="G36" s="4" t="s">
        <v>31</v>
      </c>
      <c r="H36" s="6">
        <v>1.0</v>
      </c>
      <c r="I36" s="6" t="s">
        <v>33</v>
      </c>
      <c r="J36" s="6">
        <v>18.0</v>
      </c>
      <c r="K36" s="6" t="s">
        <v>43</v>
      </c>
      <c r="L36" s="6">
        <v>11.0</v>
      </c>
      <c r="M36" s="4">
        <v>64.0</v>
      </c>
      <c r="N36" s="4" t="s">
        <v>44</v>
      </c>
      <c r="O36" s="4">
        <v>114.0</v>
      </c>
      <c r="P36" s="6" t="s">
        <v>45</v>
      </c>
      <c r="Q36" s="4">
        <v>0.0</v>
      </c>
      <c r="R36" s="9"/>
      <c r="S36" s="9"/>
      <c r="T36" s="9"/>
      <c r="U36" s="9"/>
      <c r="V36" s="6" t="s">
        <v>93</v>
      </c>
      <c r="W36" s="6" t="s">
        <v>93</v>
      </c>
      <c r="X36" s="6" t="s">
        <v>37</v>
      </c>
      <c r="Y36" s="5"/>
    </row>
    <row r="37" hidden="1">
      <c r="A37" s="15">
        <v>45423.0</v>
      </c>
      <c r="B37" s="4" t="s">
        <v>30</v>
      </c>
      <c r="C37" s="4">
        <v>1551.0</v>
      </c>
      <c r="D37" s="4" t="s">
        <v>103</v>
      </c>
      <c r="E37" s="4" t="s">
        <v>29</v>
      </c>
      <c r="F37" s="5"/>
      <c r="G37" s="4" t="s">
        <v>31</v>
      </c>
      <c r="H37" s="6">
        <v>1.0</v>
      </c>
      <c r="I37" s="6" t="s">
        <v>42</v>
      </c>
      <c r="J37" s="6">
        <v>18.0</v>
      </c>
      <c r="K37" s="6" t="s">
        <v>43</v>
      </c>
      <c r="L37" s="6">
        <v>11.0</v>
      </c>
      <c r="M37" s="4">
        <v>64.0</v>
      </c>
      <c r="N37" s="4" t="s">
        <v>44</v>
      </c>
      <c r="O37" s="4">
        <v>114.0</v>
      </c>
      <c r="P37" s="6">
        <v>46.0</v>
      </c>
      <c r="Q37" s="4">
        <v>0.0</v>
      </c>
      <c r="R37" s="9"/>
      <c r="S37" s="9"/>
      <c r="T37" s="9"/>
      <c r="U37" s="9"/>
      <c r="V37" s="6" t="s">
        <v>93</v>
      </c>
      <c r="W37" s="6" t="s">
        <v>93</v>
      </c>
      <c r="X37" s="6" t="s">
        <v>37</v>
      </c>
      <c r="Y37" s="5"/>
    </row>
    <row r="38" hidden="1">
      <c r="A38" s="15">
        <v>45414.0</v>
      </c>
      <c r="B38" s="4" t="s">
        <v>30</v>
      </c>
      <c r="C38" s="4">
        <v>1551.0</v>
      </c>
      <c r="D38" s="4" t="s">
        <v>104</v>
      </c>
      <c r="E38" s="4" t="s">
        <v>29</v>
      </c>
      <c r="F38" s="5"/>
      <c r="G38" s="4" t="s">
        <v>31</v>
      </c>
      <c r="H38" s="6">
        <v>1.0</v>
      </c>
      <c r="I38" s="6" t="s">
        <v>76</v>
      </c>
      <c r="J38" s="6">
        <v>18.0</v>
      </c>
      <c r="K38" s="6" t="s">
        <v>43</v>
      </c>
      <c r="L38" s="6">
        <v>10.0</v>
      </c>
      <c r="M38" s="4">
        <v>64.0</v>
      </c>
      <c r="N38" s="4" t="s">
        <v>44</v>
      </c>
      <c r="O38" s="4">
        <v>114.0</v>
      </c>
      <c r="P38" s="6">
        <v>37.0</v>
      </c>
      <c r="Q38" s="4">
        <v>0.0</v>
      </c>
      <c r="R38" s="9"/>
      <c r="S38" s="9"/>
      <c r="T38" s="9"/>
      <c r="U38" s="9"/>
      <c r="V38" s="6" t="s">
        <v>93</v>
      </c>
      <c r="W38" s="6" t="s">
        <v>93</v>
      </c>
      <c r="X38" s="6" t="s">
        <v>37</v>
      </c>
      <c r="Y38" s="5"/>
    </row>
    <row r="39" hidden="1">
      <c r="A39" s="15">
        <v>45409.0</v>
      </c>
      <c r="B39" s="4" t="s">
        <v>30</v>
      </c>
      <c r="C39" s="4">
        <v>1551.0</v>
      </c>
      <c r="D39" s="4" t="s">
        <v>105</v>
      </c>
      <c r="E39" s="4" t="s">
        <v>29</v>
      </c>
      <c r="F39" s="5"/>
      <c r="G39" s="4" t="s">
        <v>31</v>
      </c>
      <c r="H39" s="6">
        <v>1.0</v>
      </c>
      <c r="I39" s="6" t="s">
        <v>42</v>
      </c>
      <c r="J39" s="6">
        <v>18.0</v>
      </c>
      <c r="K39" s="6" t="s">
        <v>43</v>
      </c>
      <c r="L39" s="6">
        <v>11.0</v>
      </c>
      <c r="M39" s="4">
        <v>64.0</v>
      </c>
      <c r="N39" s="4" t="s">
        <v>44</v>
      </c>
      <c r="O39" s="4">
        <v>114.0</v>
      </c>
      <c r="P39" s="6">
        <v>37.0</v>
      </c>
      <c r="Q39" s="4">
        <v>0.0</v>
      </c>
      <c r="R39" s="9"/>
      <c r="S39" s="9"/>
      <c r="T39" s="9"/>
      <c r="U39" s="9"/>
      <c r="V39" s="6" t="s">
        <v>93</v>
      </c>
      <c r="W39" s="6" t="s">
        <v>93</v>
      </c>
      <c r="X39" s="6" t="s">
        <v>37</v>
      </c>
      <c r="Y39" s="5"/>
    </row>
    <row r="40">
      <c r="A40" s="15">
        <v>45407.0</v>
      </c>
      <c r="B40" s="4" t="s">
        <v>30</v>
      </c>
      <c r="C40" s="4">
        <v>1551.0</v>
      </c>
      <c r="D40" s="4" t="s">
        <v>106</v>
      </c>
      <c r="E40" s="4" t="s">
        <v>29</v>
      </c>
      <c r="F40" s="5"/>
      <c r="G40" s="4" t="s">
        <v>31</v>
      </c>
      <c r="H40" s="6">
        <v>1.0</v>
      </c>
      <c r="I40" s="6" t="s">
        <v>33</v>
      </c>
      <c r="J40" s="6">
        <v>9.0</v>
      </c>
      <c r="K40" s="6" t="s">
        <v>34</v>
      </c>
      <c r="L40" s="6">
        <v>6.0</v>
      </c>
      <c r="M40" s="4">
        <v>32.0</v>
      </c>
      <c r="N40" s="4" t="s">
        <v>35</v>
      </c>
      <c r="O40" s="4">
        <v>114.0</v>
      </c>
      <c r="P40" s="6">
        <v>19.0</v>
      </c>
      <c r="Q40" s="4">
        <v>37.0</v>
      </c>
      <c r="R40" s="6">
        <v>0.0</v>
      </c>
      <c r="S40" s="6">
        <v>12.6</v>
      </c>
      <c r="T40" s="9"/>
      <c r="U40" s="6" t="s">
        <v>37</v>
      </c>
      <c r="V40" s="6" t="s">
        <v>107</v>
      </c>
      <c r="W40" s="6" t="s">
        <v>93</v>
      </c>
      <c r="X40" s="6" t="s">
        <v>108</v>
      </c>
      <c r="Y40" s="5"/>
    </row>
    <row r="41">
      <c r="A41" s="15">
        <v>45402.0</v>
      </c>
      <c r="B41" s="4" t="s">
        <v>30</v>
      </c>
      <c r="C41" s="4">
        <v>1551.0</v>
      </c>
      <c r="D41" s="4" t="s">
        <v>109</v>
      </c>
      <c r="E41" s="4" t="s">
        <v>29</v>
      </c>
      <c r="F41" s="5"/>
      <c r="G41" s="4" t="s">
        <v>31</v>
      </c>
      <c r="H41" s="6">
        <v>1.0</v>
      </c>
      <c r="I41" s="6" t="s">
        <v>33</v>
      </c>
      <c r="J41" s="6">
        <v>18.0</v>
      </c>
      <c r="K41" s="6" t="s">
        <v>62</v>
      </c>
      <c r="L41" s="6">
        <v>11.0</v>
      </c>
      <c r="M41" s="4">
        <v>64.0</v>
      </c>
      <c r="N41" s="4" t="s">
        <v>44</v>
      </c>
      <c r="O41" s="4">
        <v>114.0</v>
      </c>
      <c r="P41" s="6">
        <v>34.0</v>
      </c>
      <c r="Q41" s="4">
        <v>77.0</v>
      </c>
      <c r="R41" s="6">
        <v>0.0</v>
      </c>
      <c r="S41" s="6">
        <v>13.5</v>
      </c>
      <c r="T41" s="9"/>
      <c r="U41" s="6" t="s">
        <v>37</v>
      </c>
      <c r="V41" s="6" t="s">
        <v>110</v>
      </c>
      <c r="W41" s="6" t="s">
        <v>107</v>
      </c>
      <c r="X41" s="6" t="s">
        <v>111</v>
      </c>
      <c r="Y41" s="5"/>
    </row>
    <row r="42" hidden="1">
      <c r="A42" s="15">
        <v>45354.0</v>
      </c>
      <c r="B42" s="4" t="s">
        <v>30</v>
      </c>
      <c r="C42" s="4">
        <v>1551.0</v>
      </c>
      <c r="D42" s="4" t="s">
        <v>112</v>
      </c>
      <c r="E42" s="4" t="s">
        <v>29</v>
      </c>
      <c r="F42" s="5"/>
      <c r="G42" s="4" t="s">
        <v>31</v>
      </c>
      <c r="H42" s="6">
        <v>1.0</v>
      </c>
      <c r="I42" s="6" t="s">
        <v>113</v>
      </c>
      <c r="J42" s="6">
        <v>18.0</v>
      </c>
      <c r="K42" s="6" t="s">
        <v>43</v>
      </c>
      <c r="L42" s="6">
        <v>8.0</v>
      </c>
      <c r="M42" s="4">
        <v>64.0</v>
      </c>
      <c r="N42" s="4" t="s">
        <v>44</v>
      </c>
      <c r="O42" s="4">
        <v>114.0</v>
      </c>
      <c r="P42" s="6">
        <v>33.0</v>
      </c>
      <c r="Q42" s="4">
        <v>0.0</v>
      </c>
      <c r="R42" s="9"/>
      <c r="S42" s="9"/>
      <c r="T42" s="9"/>
      <c r="U42" s="9"/>
      <c r="V42" s="6" t="s">
        <v>110</v>
      </c>
      <c r="W42" s="6" t="s">
        <v>110</v>
      </c>
      <c r="X42" s="6" t="s">
        <v>37</v>
      </c>
      <c r="Y42" s="5"/>
    </row>
    <row r="43" hidden="1">
      <c r="A43" s="15">
        <v>45346.0</v>
      </c>
      <c r="B43" s="4" t="s">
        <v>30</v>
      </c>
      <c r="C43" s="4">
        <v>1551.0</v>
      </c>
      <c r="D43" s="4" t="s">
        <v>114</v>
      </c>
      <c r="E43" s="4" t="s">
        <v>29</v>
      </c>
      <c r="F43" s="5"/>
      <c r="G43" s="4" t="s">
        <v>31</v>
      </c>
      <c r="H43" s="6">
        <v>1.0</v>
      </c>
      <c r="I43" s="6" t="s">
        <v>42</v>
      </c>
      <c r="J43" s="6">
        <v>9.0</v>
      </c>
      <c r="K43" s="6" t="s">
        <v>43</v>
      </c>
      <c r="L43" s="6">
        <v>5.0</v>
      </c>
      <c r="M43" s="4">
        <v>32.0</v>
      </c>
      <c r="N43" s="4" t="s">
        <v>35</v>
      </c>
      <c r="O43" s="4">
        <v>114.0</v>
      </c>
      <c r="P43" s="6">
        <v>23.0</v>
      </c>
      <c r="Q43" s="4">
        <v>0.0</v>
      </c>
      <c r="R43" s="9"/>
      <c r="S43" s="9"/>
      <c r="T43" s="9"/>
      <c r="U43" s="9"/>
      <c r="V43" s="6" t="s">
        <v>110</v>
      </c>
      <c r="W43" s="6" t="s">
        <v>110</v>
      </c>
      <c r="X43" s="6" t="s">
        <v>37</v>
      </c>
      <c r="Y43" s="5"/>
    </row>
    <row r="44" hidden="1">
      <c r="A44" s="15">
        <v>45333.0</v>
      </c>
      <c r="B44" s="4" t="s">
        <v>30</v>
      </c>
      <c r="C44" s="4">
        <v>1551.0</v>
      </c>
      <c r="D44" s="4" t="s">
        <v>115</v>
      </c>
      <c r="E44" s="5"/>
      <c r="F44" s="5"/>
      <c r="G44" s="4" t="s">
        <v>31</v>
      </c>
      <c r="H44" s="6">
        <v>1.0</v>
      </c>
      <c r="I44" s="6" t="s">
        <v>33</v>
      </c>
      <c r="J44" s="6">
        <v>9.0</v>
      </c>
      <c r="K44" s="6" t="s">
        <v>43</v>
      </c>
      <c r="L44" s="6">
        <v>5.0</v>
      </c>
      <c r="M44" s="4">
        <v>32.0</v>
      </c>
      <c r="N44" s="4" t="s">
        <v>35</v>
      </c>
      <c r="O44" s="4">
        <v>114.0</v>
      </c>
      <c r="P44" s="6" t="s">
        <v>45</v>
      </c>
      <c r="Q44" s="4">
        <v>0.0</v>
      </c>
      <c r="R44" s="9"/>
      <c r="S44" s="9"/>
      <c r="T44" s="9"/>
      <c r="U44" s="9"/>
      <c r="V44" s="6" t="s">
        <v>110</v>
      </c>
      <c r="W44" s="6" t="s">
        <v>110</v>
      </c>
      <c r="X44" s="6" t="s">
        <v>37</v>
      </c>
      <c r="Y44" s="5"/>
    </row>
    <row r="45" hidden="1">
      <c r="A45" s="15">
        <v>45325.0</v>
      </c>
      <c r="B45" s="4" t="s">
        <v>30</v>
      </c>
      <c r="C45" s="4">
        <v>1551.0</v>
      </c>
      <c r="D45" s="4" t="s">
        <v>116</v>
      </c>
      <c r="E45" s="5"/>
      <c r="F45" s="5"/>
      <c r="G45" s="4" t="s">
        <v>117</v>
      </c>
      <c r="H45" s="6">
        <v>1.0</v>
      </c>
      <c r="I45" s="6" t="s">
        <v>70</v>
      </c>
      <c r="J45" s="6">
        <v>9.0</v>
      </c>
      <c r="K45" s="6" t="s">
        <v>43</v>
      </c>
      <c r="L45" s="6">
        <v>5.0</v>
      </c>
      <c r="M45" s="4">
        <v>32.0</v>
      </c>
      <c r="N45" s="4" t="s">
        <v>35</v>
      </c>
      <c r="O45" s="4">
        <v>114.0</v>
      </c>
      <c r="P45" s="6">
        <v>28.0</v>
      </c>
      <c r="Q45" s="4">
        <v>0.0</v>
      </c>
      <c r="R45" s="9"/>
      <c r="S45" s="9"/>
      <c r="T45" s="9"/>
      <c r="U45" s="9"/>
      <c r="V45" s="6" t="s">
        <v>110</v>
      </c>
      <c r="W45" s="6" t="s">
        <v>110</v>
      </c>
      <c r="X45" s="6" t="s">
        <v>37</v>
      </c>
      <c r="Y45" s="5"/>
    </row>
    <row r="46" hidden="1">
      <c r="A46" s="15">
        <v>45312.0</v>
      </c>
      <c r="B46" s="4" t="s">
        <v>30</v>
      </c>
      <c r="C46" s="4">
        <v>1551.0</v>
      </c>
      <c r="D46" s="4" t="s">
        <v>118</v>
      </c>
      <c r="E46" s="5"/>
      <c r="F46" s="5"/>
      <c r="G46" s="4" t="s">
        <v>117</v>
      </c>
      <c r="H46" s="6">
        <v>1.0</v>
      </c>
      <c r="I46" s="6" t="s">
        <v>33</v>
      </c>
      <c r="J46" s="6">
        <v>9.0</v>
      </c>
      <c r="K46" s="6" t="s">
        <v>43</v>
      </c>
      <c r="L46" s="6">
        <v>5.0</v>
      </c>
      <c r="M46" s="5"/>
      <c r="N46" s="4" t="s">
        <v>35</v>
      </c>
      <c r="O46" s="4">
        <v>114.0</v>
      </c>
      <c r="P46" s="6" t="s">
        <v>45</v>
      </c>
      <c r="Q46" s="4">
        <v>0.0</v>
      </c>
      <c r="R46" s="9"/>
      <c r="S46" s="9"/>
      <c r="T46" s="9"/>
      <c r="U46" s="9"/>
      <c r="V46" s="6" t="s">
        <v>110</v>
      </c>
      <c r="W46" s="6" t="s">
        <v>110</v>
      </c>
      <c r="X46" s="6" t="s">
        <v>37</v>
      </c>
      <c r="Y46" s="5"/>
    </row>
    <row r="47" hidden="1">
      <c r="A47" s="24">
        <v>45291.0</v>
      </c>
      <c r="B47" s="4" t="s">
        <v>30</v>
      </c>
      <c r="C47" s="4">
        <v>1551.0</v>
      </c>
      <c r="D47" s="4" t="s">
        <v>119</v>
      </c>
      <c r="E47" s="5"/>
      <c r="F47" s="5"/>
      <c r="G47" s="4" t="s">
        <v>117</v>
      </c>
      <c r="H47" s="6">
        <v>1.0</v>
      </c>
      <c r="I47" s="6" t="s">
        <v>42</v>
      </c>
      <c r="J47" s="6">
        <v>9.0</v>
      </c>
      <c r="K47" s="6" t="s">
        <v>43</v>
      </c>
      <c r="L47" s="6">
        <v>5.0</v>
      </c>
      <c r="M47" s="4">
        <v>32.0</v>
      </c>
      <c r="N47" s="4" t="s">
        <v>35</v>
      </c>
      <c r="O47" s="4">
        <v>114.0</v>
      </c>
      <c r="P47" s="6">
        <v>16.0</v>
      </c>
      <c r="Q47" s="4">
        <v>0.0</v>
      </c>
      <c r="R47" s="9"/>
      <c r="S47" s="9"/>
      <c r="T47" s="9"/>
      <c r="U47" s="9"/>
      <c r="V47" s="6" t="s">
        <v>110</v>
      </c>
      <c r="W47" s="6" t="s">
        <v>110</v>
      </c>
      <c r="X47" s="6" t="s">
        <v>37</v>
      </c>
      <c r="Y47" s="5"/>
    </row>
    <row r="48" hidden="1">
      <c r="A48" s="24">
        <v>45276.0</v>
      </c>
      <c r="B48" s="4" t="s">
        <v>30</v>
      </c>
      <c r="C48" s="4">
        <v>1551.0</v>
      </c>
      <c r="D48" s="4" t="s">
        <v>120</v>
      </c>
      <c r="E48" s="5"/>
      <c r="F48" s="5"/>
      <c r="G48" s="4" t="s">
        <v>117</v>
      </c>
      <c r="H48" s="6">
        <v>1.0</v>
      </c>
      <c r="I48" s="6" t="s">
        <v>33</v>
      </c>
      <c r="J48" s="6">
        <v>9.0</v>
      </c>
      <c r="K48" s="6" t="s">
        <v>43</v>
      </c>
      <c r="L48" s="6">
        <v>5.0</v>
      </c>
      <c r="M48" s="4">
        <v>32.0</v>
      </c>
      <c r="N48" s="4" t="s">
        <v>35</v>
      </c>
      <c r="O48" s="4">
        <v>114.0</v>
      </c>
      <c r="P48" s="6" t="s">
        <v>45</v>
      </c>
      <c r="Q48" s="4">
        <v>0.0</v>
      </c>
      <c r="R48" s="9"/>
      <c r="S48" s="9"/>
      <c r="T48" s="9"/>
      <c r="U48" s="9"/>
      <c r="V48" s="6" t="s">
        <v>110</v>
      </c>
      <c r="W48" s="6" t="s">
        <v>110</v>
      </c>
      <c r="X48" s="6" t="s">
        <v>37</v>
      </c>
      <c r="Y48" s="5"/>
    </row>
    <row r="49" hidden="1">
      <c r="A49" s="15">
        <v>45193.0</v>
      </c>
      <c r="B49" s="4" t="s">
        <v>30</v>
      </c>
      <c r="C49" s="4">
        <v>1551.0</v>
      </c>
      <c r="D49" s="4" t="s">
        <v>121</v>
      </c>
      <c r="E49" s="5"/>
      <c r="F49" s="5"/>
      <c r="G49" s="4" t="s">
        <v>117</v>
      </c>
      <c r="H49" s="6">
        <v>1.0</v>
      </c>
      <c r="I49" s="6" t="s">
        <v>33</v>
      </c>
      <c r="J49" s="6">
        <v>9.0</v>
      </c>
      <c r="K49" s="6" t="s">
        <v>43</v>
      </c>
      <c r="L49" s="6">
        <v>5.0</v>
      </c>
      <c r="M49" s="4">
        <v>32.0</v>
      </c>
      <c r="N49" s="4" t="s">
        <v>35</v>
      </c>
      <c r="O49" s="4">
        <v>114.0</v>
      </c>
      <c r="P49" s="6" t="s">
        <v>45</v>
      </c>
      <c r="Q49" s="4">
        <v>0.0</v>
      </c>
      <c r="R49" s="9"/>
      <c r="S49" s="9"/>
      <c r="T49" s="9"/>
      <c r="U49" s="9"/>
      <c r="V49" s="6" t="s">
        <v>110</v>
      </c>
      <c r="W49" s="6" t="s">
        <v>110</v>
      </c>
      <c r="X49" s="6" t="s">
        <v>37</v>
      </c>
      <c r="Y49" s="5"/>
    </row>
    <row r="50">
      <c r="A50" s="15">
        <v>45189.0</v>
      </c>
      <c r="B50" s="4" t="s">
        <v>30</v>
      </c>
      <c r="C50" s="4">
        <v>1551.0</v>
      </c>
      <c r="D50" s="4" t="s">
        <v>122</v>
      </c>
      <c r="E50" s="5"/>
      <c r="F50" s="5"/>
      <c r="G50" s="4" t="s">
        <v>123</v>
      </c>
      <c r="H50" s="6">
        <v>1.0</v>
      </c>
      <c r="I50" s="6" t="s">
        <v>33</v>
      </c>
      <c r="J50" s="6">
        <v>18.0</v>
      </c>
      <c r="K50" s="6" t="s">
        <v>62</v>
      </c>
      <c r="L50" s="6">
        <v>13.0</v>
      </c>
      <c r="M50" s="4">
        <v>72.0</v>
      </c>
      <c r="N50" s="4" t="s">
        <v>124</v>
      </c>
      <c r="O50" s="4">
        <v>133.0</v>
      </c>
      <c r="P50" s="6">
        <v>32.0</v>
      </c>
      <c r="Q50" s="4">
        <v>89.0</v>
      </c>
      <c r="R50" s="6">
        <v>0.0</v>
      </c>
      <c r="S50" s="6">
        <v>15.2</v>
      </c>
      <c r="T50" s="9"/>
      <c r="U50" s="6" t="s">
        <v>37</v>
      </c>
      <c r="V50" s="6" t="s">
        <v>110</v>
      </c>
      <c r="W50" s="6" t="s">
        <v>110</v>
      </c>
      <c r="X50" s="6" t="s">
        <v>37</v>
      </c>
      <c r="Y50" s="5"/>
    </row>
    <row r="51" hidden="1">
      <c r="A51" s="15">
        <v>45144.0</v>
      </c>
      <c r="B51" s="4" t="s">
        <v>30</v>
      </c>
      <c r="C51" s="4">
        <v>1551.0</v>
      </c>
      <c r="D51" s="4" t="s">
        <v>125</v>
      </c>
      <c r="E51" s="5"/>
      <c r="F51" s="5"/>
      <c r="G51" s="4" t="s">
        <v>117</v>
      </c>
      <c r="H51" s="6">
        <v>1.0</v>
      </c>
      <c r="I51" s="6" t="s">
        <v>33</v>
      </c>
      <c r="J51" s="6">
        <v>9.0</v>
      </c>
      <c r="K51" s="6" t="s">
        <v>43</v>
      </c>
      <c r="L51" s="6">
        <v>5.0</v>
      </c>
      <c r="M51" s="4">
        <v>32.0</v>
      </c>
      <c r="N51" s="4" t="s">
        <v>35</v>
      </c>
      <c r="O51" s="4">
        <v>114.0</v>
      </c>
      <c r="P51" s="6" t="s">
        <v>59</v>
      </c>
      <c r="Q51" s="4">
        <v>0.0</v>
      </c>
      <c r="R51" s="9"/>
      <c r="S51" s="9"/>
      <c r="T51" s="9"/>
      <c r="U51" s="9"/>
      <c r="V51" s="6" t="s">
        <v>110</v>
      </c>
      <c r="W51" s="6" t="s">
        <v>110</v>
      </c>
      <c r="X51" s="6" t="s">
        <v>37</v>
      </c>
      <c r="Y51" s="5"/>
    </row>
    <row r="52" hidden="1">
      <c r="A52" s="15">
        <v>45099.0</v>
      </c>
      <c r="B52" s="4" t="s">
        <v>30</v>
      </c>
      <c r="C52" s="4">
        <v>1551.0</v>
      </c>
      <c r="D52" s="4" t="s">
        <v>126</v>
      </c>
      <c r="E52" s="5"/>
      <c r="F52" s="5"/>
      <c r="G52" s="4" t="s">
        <v>127</v>
      </c>
      <c r="H52" s="6">
        <v>1.0</v>
      </c>
      <c r="I52" s="6" t="s">
        <v>33</v>
      </c>
      <c r="J52" s="6">
        <v>9.0</v>
      </c>
      <c r="K52" s="6" t="s">
        <v>43</v>
      </c>
      <c r="L52" s="6">
        <v>6.0</v>
      </c>
      <c r="M52" s="4">
        <v>36.0</v>
      </c>
      <c r="N52" s="4" t="s">
        <v>128</v>
      </c>
      <c r="O52" s="4">
        <v>125.0</v>
      </c>
      <c r="P52" s="6" t="s">
        <v>45</v>
      </c>
      <c r="Q52" s="4">
        <v>0.0</v>
      </c>
      <c r="R52" s="9"/>
      <c r="S52" s="9"/>
      <c r="T52" s="9"/>
      <c r="U52" s="9"/>
      <c r="V52" s="6" t="s">
        <v>110</v>
      </c>
      <c r="W52" s="6" t="s">
        <v>110</v>
      </c>
      <c r="X52" s="6" t="s">
        <v>37</v>
      </c>
      <c r="Y52" s="5"/>
    </row>
    <row r="53">
      <c r="A53" s="15">
        <v>45095.0</v>
      </c>
      <c r="B53" s="4" t="s">
        <v>30</v>
      </c>
      <c r="C53" s="4">
        <v>1551.0</v>
      </c>
      <c r="D53" s="4" t="s">
        <v>129</v>
      </c>
      <c r="E53" s="5"/>
      <c r="F53" s="5"/>
      <c r="G53" s="4" t="s">
        <v>117</v>
      </c>
      <c r="H53" s="6">
        <v>1.0</v>
      </c>
      <c r="I53" s="6" t="s">
        <v>33</v>
      </c>
      <c r="J53" s="6">
        <v>9.0</v>
      </c>
      <c r="K53" s="6" t="s">
        <v>34</v>
      </c>
      <c r="L53" s="6">
        <v>5.0</v>
      </c>
      <c r="M53" s="4">
        <v>32.0</v>
      </c>
      <c r="N53" s="4" t="s">
        <v>35</v>
      </c>
      <c r="O53" s="4">
        <v>114.0</v>
      </c>
      <c r="P53" s="6">
        <v>34.0</v>
      </c>
      <c r="Q53" s="4">
        <v>76.0</v>
      </c>
      <c r="R53" s="6">
        <v>0.0</v>
      </c>
      <c r="S53" s="10">
        <v>12.5</v>
      </c>
      <c r="T53" s="9"/>
      <c r="U53" s="6" t="s">
        <v>37</v>
      </c>
      <c r="V53" s="6" t="s">
        <v>131</v>
      </c>
      <c r="W53" s="6" t="s">
        <v>110</v>
      </c>
      <c r="X53" s="6" t="s">
        <v>132</v>
      </c>
      <c r="Y53" s="5"/>
    </row>
    <row r="54">
      <c r="A54" s="15">
        <v>45087.0</v>
      </c>
      <c r="B54" s="4" t="s">
        <v>30</v>
      </c>
      <c r="C54" s="4">
        <v>1551.0</v>
      </c>
      <c r="D54" s="4" t="s">
        <v>130</v>
      </c>
      <c r="E54" s="5"/>
      <c r="F54" s="5"/>
      <c r="G54" s="4" t="s">
        <v>117</v>
      </c>
      <c r="H54" s="6">
        <v>1.0</v>
      </c>
      <c r="I54" s="6" t="s">
        <v>33</v>
      </c>
      <c r="J54" s="6">
        <v>18.0</v>
      </c>
      <c r="K54" s="6" t="s">
        <v>62</v>
      </c>
      <c r="L54" s="6">
        <v>11.0</v>
      </c>
      <c r="M54" s="4">
        <v>64.0</v>
      </c>
      <c r="N54" s="4" t="s">
        <v>44</v>
      </c>
      <c r="O54" s="4">
        <v>114.0</v>
      </c>
      <c r="P54" s="6">
        <v>37.0</v>
      </c>
      <c r="Q54" s="4">
        <v>74.0</v>
      </c>
      <c r="R54" s="6">
        <v>0.0</v>
      </c>
      <c r="S54" s="10">
        <v>10.5</v>
      </c>
      <c r="T54" s="9"/>
      <c r="U54" s="6" t="s">
        <v>37</v>
      </c>
      <c r="V54" s="6" t="s">
        <v>133</v>
      </c>
      <c r="W54" s="6" t="s">
        <v>131</v>
      </c>
      <c r="X54" s="6" t="s">
        <v>134</v>
      </c>
      <c r="Y54" s="5"/>
    </row>
    <row r="55" hidden="1">
      <c r="A55" s="15">
        <v>45083.0</v>
      </c>
      <c r="B55" s="4" t="s">
        <v>30</v>
      </c>
      <c r="C55" s="4">
        <v>1551.0</v>
      </c>
      <c r="D55" s="4" t="s">
        <v>99</v>
      </c>
      <c r="E55" s="5"/>
      <c r="F55" s="5"/>
      <c r="G55" s="4" t="s">
        <v>54</v>
      </c>
      <c r="H55" s="6">
        <v>1.0</v>
      </c>
      <c r="I55" s="6" t="s">
        <v>33</v>
      </c>
      <c r="J55" s="6">
        <v>18.0</v>
      </c>
      <c r="K55" s="6" t="s">
        <v>43</v>
      </c>
      <c r="L55" s="6">
        <v>13.0</v>
      </c>
      <c r="M55" s="4">
        <v>72.0</v>
      </c>
      <c r="N55" s="4" t="s">
        <v>55</v>
      </c>
      <c r="O55" s="4">
        <v>133.0</v>
      </c>
      <c r="P55" s="6" t="s">
        <v>45</v>
      </c>
      <c r="Q55" s="4">
        <v>0.0</v>
      </c>
      <c r="R55" s="9"/>
      <c r="S55" s="9"/>
      <c r="T55" s="9"/>
      <c r="U55" s="9"/>
      <c r="V55" s="6" t="s">
        <v>133</v>
      </c>
      <c r="W55" s="6" t="s">
        <v>133</v>
      </c>
      <c r="X55" s="6" t="s">
        <v>37</v>
      </c>
      <c r="Y55" s="5"/>
    </row>
    <row r="56" hidden="1">
      <c r="A56" s="15">
        <v>45077.0</v>
      </c>
      <c r="B56" s="4" t="s">
        <v>30</v>
      </c>
      <c r="C56" s="4">
        <v>1551.0</v>
      </c>
      <c r="D56" s="4" t="s">
        <v>135</v>
      </c>
      <c r="E56" s="5"/>
      <c r="F56" s="5"/>
      <c r="G56" s="4" t="s">
        <v>136</v>
      </c>
      <c r="H56" s="6">
        <v>1.0</v>
      </c>
      <c r="I56" s="6" t="s">
        <v>33</v>
      </c>
      <c r="J56" s="6">
        <v>9.0</v>
      </c>
      <c r="K56" s="6" t="s">
        <v>43</v>
      </c>
      <c r="L56" s="6">
        <v>7.0</v>
      </c>
      <c r="M56" s="4">
        <v>37.0</v>
      </c>
      <c r="N56" s="4" t="s">
        <v>137</v>
      </c>
      <c r="O56" s="4">
        <v>138.0</v>
      </c>
      <c r="P56" s="6" t="s">
        <v>45</v>
      </c>
      <c r="Q56" s="4">
        <v>0.0</v>
      </c>
      <c r="R56" s="9"/>
      <c r="S56" s="9"/>
      <c r="T56" s="9"/>
      <c r="U56" s="9"/>
      <c r="V56" s="6" t="s">
        <v>133</v>
      </c>
      <c r="W56" s="6" t="s">
        <v>133</v>
      </c>
      <c r="X56" s="6" t="s">
        <v>37</v>
      </c>
      <c r="Y56" s="5"/>
    </row>
    <row r="57" hidden="1">
      <c r="A57" s="15">
        <v>45017.0</v>
      </c>
      <c r="B57" s="4" t="s">
        <v>30</v>
      </c>
      <c r="C57" s="4">
        <v>1551.0</v>
      </c>
      <c r="D57" s="4" t="s">
        <v>138</v>
      </c>
      <c r="E57" s="5"/>
      <c r="F57" s="5"/>
      <c r="G57" s="4" t="s">
        <v>117</v>
      </c>
      <c r="H57" s="6">
        <v>1.0</v>
      </c>
      <c r="I57" s="6" t="s">
        <v>42</v>
      </c>
      <c r="J57" s="6">
        <v>18.0</v>
      </c>
      <c r="K57" s="6" t="s">
        <v>43</v>
      </c>
      <c r="L57" s="6">
        <v>11.0</v>
      </c>
      <c r="M57" s="4">
        <v>64.0</v>
      </c>
      <c r="N57" s="4" t="s">
        <v>44</v>
      </c>
      <c r="O57" s="4">
        <v>114.0</v>
      </c>
      <c r="P57" s="6">
        <v>40.0</v>
      </c>
      <c r="Q57" s="4">
        <v>0.0</v>
      </c>
      <c r="R57" s="9"/>
      <c r="S57" s="9"/>
      <c r="T57" s="9"/>
      <c r="U57" s="9"/>
      <c r="V57" s="6" t="s">
        <v>133</v>
      </c>
      <c r="W57" s="6" t="s">
        <v>133</v>
      </c>
      <c r="X57" s="6" t="s">
        <v>37</v>
      </c>
      <c r="Y57" s="5"/>
    </row>
    <row r="58" hidden="1">
      <c r="A58" s="15">
        <v>44989.0</v>
      </c>
      <c r="B58" s="4" t="s">
        <v>30</v>
      </c>
      <c r="C58" s="4">
        <v>1551.0</v>
      </c>
      <c r="D58" s="4" t="s">
        <v>139</v>
      </c>
      <c r="E58" s="5"/>
      <c r="F58" s="5"/>
      <c r="G58" s="4" t="s">
        <v>117</v>
      </c>
      <c r="H58" s="6">
        <v>1.0</v>
      </c>
      <c r="I58" s="6" t="s">
        <v>113</v>
      </c>
      <c r="J58" s="6">
        <v>18.0</v>
      </c>
      <c r="K58" s="6" t="s">
        <v>43</v>
      </c>
      <c r="L58" s="6">
        <v>11.0</v>
      </c>
      <c r="M58" s="4">
        <v>64.0</v>
      </c>
      <c r="N58" s="4" t="s">
        <v>44</v>
      </c>
      <c r="O58" s="4">
        <v>114.0</v>
      </c>
      <c r="P58" s="6">
        <v>38.0</v>
      </c>
      <c r="Q58" s="4">
        <v>0.0</v>
      </c>
      <c r="R58" s="9"/>
      <c r="S58" s="9"/>
      <c r="T58" s="9"/>
      <c r="U58" s="9"/>
      <c r="V58" s="6" t="s">
        <v>133</v>
      </c>
      <c r="W58" s="6" t="s">
        <v>133</v>
      </c>
      <c r="X58" s="6" t="s">
        <v>37</v>
      </c>
      <c r="Y58" s="5"/>
    </row>
    <row r="59" hidden="1">
      <c r="A59" s="15">
        <v>44941.0</v>
      </c>
      <c r="B59" s="4" t="s">
        <v>30</v>
      </c>
      <c r="C59" s="4">
        <v>1551.0</v>
      </c>
      <c r="D59" s="4" t="s">
        <v>140</v>
      </c>
      <c r="E59" s="5"/>
      <c r="F59" s="5"/>
      <c r="G59" s="4" t="s">
        <v>75</v>
      </c>
      <c r="H59" s="6">
        <v>1.0</v>
      </c>
      <c r="I59" s="6" t="s">
        <v>42</v>
      </c>
      <c r="J59" s="6">
        <v>18.0</v>
      </c>
      <c r="K59" s="6" t="s">
        <v>43</v>
      </c>
      <c r="L59" s="6">
        <v>12.0</v>
      </c>
      <c r="M59" s="4">
        <v>72.0</v>
      </c>
      <c r="N59" s="4" t="s">
        <v>77</v>
      </c>
      <c r="O59" s="4">
        <v>127.0</v>
      </c>
      <c r="P59" s="6">
        <v>31.0</v>
      </c>
      <c r="Q59" s="4">
        <v>0.0</v>
      </c>
      <c r="R59" s="9"/>
      <c r="S59" s="9"/>
      <c r="T59" s="9"/>
      <c r="U59" s="9"/>
      <c r="V59" s="6" t="s">
        <v>133</v>
      </c>
      <c r="W59" s="6" t="s">
        <v>133</v>
      </c>
      <c r="X59" s="6" t="s">
        <v>37</v>
      </c>
      <c r="Y59" s="5"/>
    </row>
    <row r="60" hidden="1">
      <c r="A60" s="15">
        <v>44932.0</v>
      </c>
      <c r="B60" s="4" t="s">
        <v>30</v>
      </c>
      <c r="C60" s="4">
        <v>1551.0</v>
      </c>
      <c r="D60" s="4" t="s">
        <v>141</v>
      </c>
      <c r="E60" s="5"/>
      <c r="F60" s="5"/>
      <c r="G60" s="4" t="s">
        <v>117</v>
      </c>
      <c r="H60" s="6">
        <v>1.0</v>
      </c>
      <c r="I60" s="6" t="s">
        <v>42</v>
      </c>
      <c r="J60" s="6">
        <v>9.0</v>
      </c>
      <c r="K60" s="6" t="s">
        <v>43</v>
      </c>
      <c r="L60" s="6">
        <v>5.0</v>
      </c>
      <c r="M60" s="4">
        <v>32.0</v>
      </c>
      <c r="N60" s="4" t="s">
        <v>35</v>
      </c>
      <c r="O60" s="4">
        <v>114.0</v>
      </c>
      <c r="P60" s="6">
        <v>17.0</v>
      </c>
      <c r="Q60" s="4">
        <v>0.0</v>
      </c>
      <c r="R60" s="9"/>
      <c r="S60" s="9"/>
      <c r="T60" s="9"/>
      <c r="U60" s="9"/>
      <c r="V60" s="6" t="s">
        <v>133</v>
      </c>
      <c r="W60" s="6" t="s">
        <v>133</v>
      </c>
      <c r="X60" s="6" t="s">
        <v>37</v>
      </c>
      <c r="Y60" s="5"/>
    </row>
    <row r="61" hidden="1">
      <c r="A61" s="15">
        <v>44899.0</v>
      </c>
      <c r="B61" s="4" t="s">
        <v>30</v>
      </c>
      <c r="C61" s="4">
        <v>1551.0</v>
      </c>
      <c r="D61" s="4" t="s">
        <v>142</v>
      </c>
      <c r="E61" s="5"/>
      <c r="F61" s="5"/>
      <c r="G61" s="4" t="s">
        <v>75</v>
      </c>
      <c r="H61" s="6">
        <v>1.0</v>
      </c>
      <c r="I61" s="6" t="s">
        <v>76</v>
      </c>
      <c r="J61" s="6">
        <v>18.0</v>
      </c>
      <c r="K61" s="6" t="s">
        <v>43</v>
      </c>
      <c r="L61" s="6">
        <v>10.0</v>
      </c>
      <c r="M61" s="4">
        <v>72.0</v>
      </c>
      <c r="N61" s="4" t="s">
        <v>77</v>
      </c>
      <c r="O61" s="4">
        <v>127.0</v>
      </c>
      <c r="P61" s="6">
        <v>36.0</v>
      </c>
      <c r="Q61" s="4">
        <v>0.0</v>
      </c>
      <c r="R61" s="9"/>
      <c r="S61" s="9"/>
      <c r="T61" s="9"/>
      <c r="U61" s="9"/>
      <c r="V61" s="6" t="s">
        <v>133</v>
      </c>
      <c r="W61" s="6" t="s">
        <v>133</v>
      </c>
      <c r="X61" s="6" t="s">
        <v>37</v>
      </c>
      <c r="Y61" s="5"/>
    </row>
    <row r="62" hidden="1">
      <c r="A62" s="15">
        <v>44788.0</v>
      </c>
      <c r="B62" s="4" t="s">
        <v>30</v>
      </c>
      <c r="C62" s="4">
        <v>1551.0</v>
      </c>
      <c r="D62" s="4" t="s">
        <v>143</v>
      </c>
      <c r="E62" s="5"/>
      <c r="F62" s="5"/>
      <c r="G62" s="4" t="s">
        <v>117</v>
      </c>
      <c r="H62" s="6">
        <v>1.0</v>
      </c>
      <c r="I62" s="6" t="s">
        <v>42</v>
      </c>
      <c r="J62" s="6">
        <v>9.0</v>
      </c>
      <c r="K62" s="6" t="s">
        <v>43</v>
      </c>
      <c r="L62" s="6">
        <v>5.0</v>
      </c>
      <c r="M62" s="4">
        <v>32.0</v>
      </c>
      <c r="N62" s="4" t="s">
        <v>35</v>
      </c>
      <c r="O62" s="4">
        <v>114.0</v>
      </c>
      <c r="P62" s="6">
        <v>22.0</v>
      </c>
      <c r="Q62" s="4">
        <v>0.0</v>
      </c>
      <c r="R62" s="9"/>
      <c r="S62" s="9"/>
      <c r="T62" s="9"/>
      <c r="U62" s="9"/>
      <c r="V62" s="6" t="s">
        <v>133</v>
      </c>
      <c r="W62" s="6" t="s">
        <v>133</v>
      </c>
      <c r="X62" s="6" t="s">
        <v>37</v>
      </c>
      <c r="Y62" s="5"/>
    </row>
    <row r="63" hidden="1">
      <c r="A63" s="15">
        <v>44786.0</v>
      </c>
      <c r="B63" s="4" t="s">
        <v>30</v>
      </c>
      <c r="C63" s="4">
        <v>1551.0</v>
      </c>
      <c r="D63" s="4" t="s">
        <v>144</v>
      </c>
      <c r="E63" s="5"/>
      <c r="F63" s="5"/>
      <c r="G63" s="4" t="s">
        <v>117</v>
      </c>
      <c r="H63" s="6">
        <v>1.0</v>
      </c>
      <c r="I63" s="6" t="s">
        <v>33</v>
      </c>
      <c r="J63" s="6">
        <v>9.0</v>
      </c>
      <c r="K63" s="6" t="s">
        <v>43</v>
      </c>
      <c r="L63" s="6">
        <v>5.0</v>
      </c>
      <c r="M63" s="4">
        <v>32.0</v>
      </c>
      <c r="N63" s="4" t="s">
        <v>35</v>
      </c>
      <c r="O63" s="4">
        <v>114.0</v>
      </c>
      <c r="P63" s="6" t="s">
        <v>45</v>
      </c>
      <c r="Q63" s="4">
        <v>0.0</v>
      </c>
      <c r="R63" s="9"/>
      <c r="S63" s="9"/>
      <c r="T63" s="9"/>
      <c r="U63" s="9"/>
      <c r="V63" s="6" t="s">
        <v>133</v>
      </c>
      <c r="W63" s="6" t="s">
        <v>133</v>
      </c>
      <c r="X63" s="6" t="s">
        <v>37</v>
      </c>
      <c r="Y63" s="5"/>
    </row>
    <row r="64" hidden="1">
      <c r="A64" s="15">
        <v>44758.0</v>
      </c>
      <c r="B64" s="4" t="s">
        <v>30</v>
      </c>
      <c r="C64" s="4">
        <v>1551.0</v>
      </c>
      <c r="D64" s="4" t="s">
        <v>145</v>
      </c>
      <c r="E64" s="5"/>
      <c r="F64" s="5"/>
      <c r="G64" s="4" t="s">
        <v>117</v>
      </c>
      <c r="H64" s="6">
        <v>1.0</v>
      </c>
      <c r="I64" s="6" t="s">
        <v>42</v>
      </c>
      <c r="J64" s="6">
        <v>9.0</v>
      </c>
      <c r="K64" s="6" t="s">
        <v>43</v>
      </c>
      <c r="L64" s="6">
        <v>5.0</v>
      </c>
      <c r="M64" s="4">
        <v>32.0</v>
      </c>
      <c r="N64" s="4" t="s">
        <v>35</v>
      </c>
      <c r="O64" s="4">
        <v>114.0</v>
      </c>
      <c r="P64" s="6">
        <v>18.0</v>
      </c>
      <c r="Q64" s="4">
        <v>0.0</v>
      </c>
      <c r="R64" s="9"/>
      <c r="S64" s="9"/>
      <c r="T64" s="9"/>
      <c r="U64" s="9"/>
      <c r="V64" s="6" t="s">
        <v>133</v>
      </c>
      <c r="W64" s="6" t="s">
        <v>133</v>
      </c>
      <c r="X64" s="6" t="s">
        <v>37</v>
      </c>
      <c r="Y64" s="5"/>
    </row>
    <row r="65" hidden="1">
      <c r="A65" s="15">
        <v>44731.0</v>
      </c>
      <c r="B65" s="4" t="s">
        <v>30</v>
      </c>
      <c r="C65" s="4">
        <v>1551.0</v>
      </c>
      <c r="D65" s="4" t="s">
        <v>146</v>
      </c>
      <c r="E65" s="5"/>
      <c r="F65" s="5"/>
      <c r="G65" s="4" t="s">
        <v>117</v>
      </c>
      <c r="H65" s="6">
        <v>1.0</v>
      </c>
      <c r="I65" s="6" t="s">
        <v>33</v>
      </c>
      <c r="J65" s="6">
        <v>9.0</v>
      </c>
      <c r="K65" s="6" t="s">
        <v>43</v>
      </c>
      <c r="L65" s="6">
        <v>6.0</v>
      </c>
      <c r="M65" s="4">
        <v>32.0</v>
      </c>
      <c r="N65" s="4" t="s">
        <v>35</v>
      </c>
      <c r="O65" s="4">
        <v>114.0</v>
      </c>
      <c r="P65" s="6" t="s">
        <v>59</v>
      </c>
      <c r="Q65" s="4">
        <v>0.0</v>
      </c>
      <c r="R65" s="9"/>
      <c r="S65" s="9"/>
      <c r="T65" s="6" t="s">
        <v>37</v>
      </c>
      <c r="U65" s="6" t="s">
        <v>37</v>
      </c>
      <c r="V65" s="6" t="s">
        <v>93</v>
      </c>
      <c r="W65" s="6" t="s">
        <v>133</v>
      </c>
      <c r="X65" s="6" t="s">
        <v>149</v>
      </c>
      <c r="Y65" s="5"/>
    </row>
    <row r="66" hidden="1">
      <c r="A66" s="15">
        <v>44730.0</v>
      </c>
      <c r="B66" s="4" t="s">
        <v>30</v>
      </c>
      <c r="C66" s="4">
        <v>1551.0</v>
      </c>
      <c r="D66" s="4" t="s">
        <v>147</v>
      </c>
      <c r="E66" s="5"/>
      <c r="F66" s="5"/>
      <c r="G66" s="4" t="s">
        <v>117</v>
      </c>
      <c r="H66" s="6">
        <v>1.0</v>
      </c>
      <c r="I66" s="6" t="s">
        <v>33</v>
      </c>
      <c r="J66" s="6">
        <v>18.0</v>
      </c>
      <c r="K66" s="6" t="s">
        <v>43</v>
      </c>
      <c r="L66" s="6">
        <v>11.0</v>
      </c>
      <c r="M66" s="4">
        <v>64.0</v>
      </c>
      <c r="N66" s="4" t="s">
        <v>44</v>
      </c>
      <c r="O66" s="4">
        <v>114.0</v>
      </c>
      <c r="P66" s="6" t="s">
        <v>59</v>
      </c>
      <c r="Q66" s="4">
        <v>0.0</v>
      </c>
      <c r="R66" s="9"/>
      <c r="S66" s="9"/>
      <c r="T66" s="9"/>
      <c r="U66" s="9"/>
      <c r="V66" s="6" t="s">
        <v>93</v>
      </c>
      <c r="W66" s="6" t="s">
        <v>93</v>
      </c>
      <c r="X66" s="6" t="s">
        <v>37</v>
      </c>
      <c r="Y66" s="5"/>
    </row>
    <row r="67" hidden="1">
      <c r="A67" s="15">
        <v>44726.0</v>
      </c>
      <c r="B67" s="4" t="s">
        <v>30</v>
      </c>
      <c r="C67" s="4">
        <v>1551.0</v>
      </c>
      <c r="D67" s="4" t="s">
        <v>148</v>
      </c>
      <c r="E67" s="5"/>
      <c r="F67" s="5"/>
      <c r="G67" s="4" t="s">
        <v>54</v>
      </c>
      <c r="H67" s="6">
        <v>1.0</v>
      </c>
      <c r="I67" s="6" t="s">
        <v>33</v>
      </c>
      <c r="J67" s="6">
        <v>18.0</v>
      </c>
      <c r="K67" s="6" t="s">
        <v>43</v>
      </c>
      <c r="L67" s="6">
        <v>14.0</v>
      </c>
      <c r="M67" s="4">
        <v>72.0</v>
      </c>
      <c r="N67" s="4" t="s">
        <v>55</v>
      </c>
      <c r="O67" s="4">
        <v>133.0</v>
      </c>
      <c r="P67" s="6" t="s">
        <v>45</v>
      </c>
      <c r="Q67" s="4">
        <v>0.0</v>
      </c>
      <c r="R67" s="9"/>
      <c r="S67" s="9"/>
      <c r="T67" s="9"/>
      <c r="U67" s="9"/>
      <c r="V67" s="6" t="s">
        <v>93</v>
      </c>
      <c r="W67" s="6" t="s">
        <v>93</v>
      </c>
      <c r="X67" s="6" t="s">
        <v>37</v>
      </c>
      <c r="Y67" s="5"/>
    </row>
    <row r="68" hidden="1">
      <c r="A68" s="15">
        <v>44681.0</v>
      </c>
      <c r="B68" s="4" t="s">
        <v>30</v>
      </c>
      <c r="C68" s="4">
        <v>1551.0</v>
      </c>
      <c r="D68" s="4" t="s">
        <v>150</v>
      </c>
      <c r="E68" s="5"/>
      <c r="F68" s="5"/>
      <c r="G68" s="4" t="s">
        <v>117</v>
      </c>
      <c r="H68" s="6">
        <v>1.0</v>
      </c>
      <c r="I68" s="6" t="s">
        <v>42</v>
      </c>
      <c r="J68" s="6">
        <v>18.0</v>
      </c>
      <c r="K68" s="6" t="s">
        <v>43</v>
      </c>
      <c r="L68" s="6">
        <v>11.0</v>
      </c>
      <c r="M68" s="4">
        <v>64.0</v>
      </c>
      <c r="N68" s="4" t="s">
        <v>44</v>
      </c>
      <c r="O68" s="4">
        <v>114.0</v>
      </c>
      <c r="P68" s="6">
        <v>40.0</v>
      </c>
      <c r="Q68" s="4">
        <v>0.0</v>
      </c>
      <c r="R68" s="9"/>
      <c r="S68" s="9"/>
      <c r="T68" s="9"/>
      <c r="U68" s="9"/>
      <c r="V68" s="6" t="s">
        <v>133</v>
      </c>
      <c r="W68" s="6" t="s">
        <v>133</v>
      </c>
      <c r="X68" s="6" t="s">
        <v>37</v>
      </c>
      <c r="Y68" s="5"/>
    </row>
    <row r="69">
      <c r="A69" s="15">
        <v>44669.0</v>
      </c>
      <c r="B69" s="4" t="s">
        <v>30</v>
      </c>
      <c r="C69" s="4">
        <v>1551.0</v>
      </c>
      <c r="D69" s="4" t="s">
        <v>146</v>
      </c>
      <c r="E69" s="5"/>
      <c r="F69" s="5"/>
      <c r="G69" s="4" t="s">
        <v>117</v>
      </c>
      <c r="H69" s="6">
        <v>1.0</v>
      </c>
      <c r="I69" s="6" t="s">
        <v>33</v>
      </c>
      <c r="J69" s="6">
        <v>9.0</v>
      </c>
      <c r="K69" s="6" t="s">
        <v>34</v>
      </c>
      <c r="L69" s="6">
        <v>5.0</v>
      </c>
      <c r="M69" s="4">
        <v>32.0</v>
      </c>
      <c r="N69" s="4" t="s">
        <v>35</v>
      </c>
      <c r="O69" s="4">
        <v>114.0</v>
      </c>
      <c r="P69" s="6">
        <v>33.0</v>
      </c>
      <c r="Q69" s="4">
        <v>77.0</v>
      </c>
      <c r="R69" s="6">
        <v>0.0</v>
      </c>
      <c r="S69" s="6">
        <v>13.5</v>
      </c>
      <c r="T69" s="9"/>
      <c r="U69" s="6" t="s">
        <v>37</v>
      </c>
      <c r="V69" s="6" t="s">
        <v>131</v>
      </c>
      <c r="W69" s="6" t="s">
        <v>133</v>
      </c>
      <c r="X69" s="6" t="s">
        <v>108</v>
      </c>
      <c r="Y69" s="5"/>
    </row>
    <row r="70">
      <c r="A70" s="15">
        <v>44661.0</v>
      </c>
      <c r="B70" s="4" t="s">
        <v>30</v>
      </c>
      <c r="C70" s="4">
        <v>1551.0</v>
      </c>
      <c r="D70" s="4" t="s">
        <v>151</v>
      </c>
      <c r="E70" s="5"/>
      <c r="F70" s="5"/>
      <c r="G70" s="4" t="s">
        <v>117</v>
      </c>
      <c r="H70" s="6">
        <v>1.0</v>
      </c>
      <c r="I70" s="6" t="s">
        <v>33</v>
      </c>
      <c r="J70" s="6">
        <v>18.0</v>
      </c>
      <c r="K70" s="6" t="s">
        <v>62</v>
      </c>
      <c r="L70" s="6">
        <v>11.0</v>
      </c>
      <c r="M70" s="4">
        <v>64.0</v>
      </c>
      <c r="N70" s="4" t="s">
        <v>44</v>
      </c>
      <c r="O70" s="4">
        <v>114.0</v>
      </c>
      <c r="P70" s="6">
        <v>30.0</v>
      </c>
      <c r="Q70" s="4">
        <v>81.0</v>
      </c>
      <c r="R70" s="6">
        <v>0.0</v>
      </c>
      <c r="S70" s="6">
        <v>17.4</v>
      </c>
      <c r="T70" s="9"/>
      <c r="U70" s="6" t="s">
        <v>37</v>
      </c>
      <c r="V70" s="6" t="s">
        <v>131</v>
      </c>
      <c r="W70" s="6" t="s">
        <v>131</v>
      </c>
      <c r="X70" s="6" t="s">
        <v>37</v>
      </c>
      <c r="Y70" s="5"/>
    </row>
    <row r="71">
      <c r="A71" s="15">
        <v>44647.0</v>
      </c>
      <c r="B71" s="4" t="s">
        <v>30</v>
      </c>
      <c r="C71" s="4">
        <v>1551.0</v>
      </c>
      <c r="D71" s="4" t="s">
        <v>152</v>
      </c>
      <c r="E71" s="5"/>
      <c r="F71" s="5"/>
      <c r="G71" s="4" t="s">
        <v>117</v>
      </c>
      <c r="H71" s="6">
        <v>1.0</v>
      </c>
      <c r="I71" s="6" t="s">
        <v>33</v>
      </c>
      <c r="J71" s="6">
        <v>18.0</v>
      </c>
      <c r="K71" s="6" t="s">
        <v>62</v>
      </c>
      <c r="L71" s="6">
        <v>11.0</v>
      </c>
      <c r="M71" s="4">
        <v>64.0</v>
      </c>
      <c r="N71" s="4" t="s">
        <v>44</v>
      </c>
      <c r="O71" s="4">
        <v>114.0</v>
      </c>
      <c r="P71" s="6">
        <v>39.0</v>
      </c>
      <c r="Q71" s="4">
        <v>72.0</v>
      </c>
      <c r="R71" s="6">
        <v>0.0</v>
      </c>
      <c r="S71" s="10">
        <v>8.5</v>
      </c>
      <c r="T71" s="9"/>
      <c r="U71" s="6" t="s">
        <v>37</v>
      </c>
      <c r="V71" s="6" t="s">
        <v>155</v>
      </c>
      <c r="W71" s="6" t="s">
        <v>131</v>
      </c>
      <c r="X71" s="6" t="s">
        <v>95</v>
      </c>
      <c r="Y71" s="5"/>
    </row>
    <row r="72" hidden="1">
      <c r="A72" s="15">
        <v>44639.0</v>
      </c>
      <c r="B72" s="4" t="s">
        <v>30</v>
      </c>
      <c r="C72" s="4">
        <v>1551.0</v>
      </c>
      <c r="D72" s="4" t="s">
        <v>153</v>
      </c>
      <c r="E72" s="5"/>
      <c r="F72" s="5"/>
      <c r="G72" s="4" t="s">
        <v>117</v>
      </c>
      <c r="H72" s="6">
        <v>1.0</v>
      </c>
      <c r="I72" s="6" t="s">
        <v>33</v>
      </c>
      <c r="J72" s="6">
        <v>18.0</v>
      </c>
      <c r="K72" s="6" t="s">
        <v>43</v>
      </c>
      <c r="L72" s="6">
        <v>11.0</v>
      </c>
      <c r="M72" s="4">
        <v>64.0</v>
      </c>
      <c r="N72" s="4" t="s">
        <v>44</v>
      </c>
      <c r="O72" s="4">
        <v>114.0</v>
      </c>
      <c r="P72" s="6" t="s">
        <v>59</v>
      </c>
      <c r="Q72" s="4">
        <v>0.0</v>
      </c>
      <c r="R72" s="9"/>
      <c r="S72" s="9"/>
      <c r="T72" s="9"/>
      <c r="U72" s="9"/>
      <c r="V72" s="6" t="s">
        <v>155</v>
      </c>
      <c r="W72" s="6" t="s">
        <v>155</v>
      </c>
      <c r="X72" s="6" t="s">
        <v>37</v>
      </c>
      <c r="Y72" s="5"/>
    </row>
    <row r="73" hidden="1">
      <c r="A73" s="15">
        <v>44632.0</v>
      </c>
      <c r="B73" s="4" t="s">
        <v>30</v>
      </c>
      <c r="C73" s="4">
        <v>1551.0</v>
      </c>
      <c r="D73" s="4" t="s">
        <v>154</v>
      </c>
      <c r="E73" s="5"/>
      <c r="F73" s="5"/>
      <c r="G73" s="4" t="s">
        <v>117</v>
      </c>
      <c r="H73" s="6">
        <v>1.0</v>
      </c>
      <c r="I73" s="6" t="s">
        <v>42</v>
      </c>
      <c r="J73" s="6">
        <v>18.0</v>
      </c>
      <c r="K73" s="6" t="s">
        <v>43</v>
      </c>
      <c r="L73" s="6">
        <v>11.0</v>
      </c>
      <c r="M73" s="4">
        <v>64.0</v>
      </c>
      <c r="N73" s="4" t="s">
        <v>44</v>
      </c>
      <c r="O73" s="4">
        <v>114.0</v>
      </c>
      <c r="P73" s="6">
        <v>42.0</v>
      </c>
      <c r="Q73" s="4">
        <v>0.0</v>
      </c>
      <c r="R73" s="9"/>
      <c r="S73" s="9"/>
      <c r="T73" s="9"/>
      <c r="U73" s="9"/>
      <c r="V73" s="6" t="s">
        <v>155</v>
      </c>
      <c r="W73" s="6" t="s">
        <v>155</v>
      </c>
      <c r="X73" s="6" t="s">
        <v>37</v>
      </c>
      <c r="Y73" s="5"/>
    </row>
    <row r="74" hidden="1">
      <c r="A74" s="15">
        <v>44618.0</v>
      </c>
      <c r="B74" s="4" t="s">
        <v>30</v>
      </c>
      <c r="C74" s="4">
        <v>1551.0</v>
      </c>
      <c r="D74" s="4" t="s">
        <v>156</v>
      </c>
      <c r="E74" s="5"/>
      <c r="F74" s="5"/>
      <c r="G74" s="4" t="s">
        <v>117</v>
      </c>
      <c r="H74" s="6">
        <v>1.0</v>
      </c>
      <c r="I74" s="6" t="s">
        <v>42</v>
      </c>
      <c r="J74" s="6">
        <v>9.0</v>
      </c>
      <c r="K74" s="6" t="s">
        <v>43</v>
      </c>
      <c r="L74" s="6">
        <v>6.0</v>
      </c>
      <c r="M74" s="4">
        <v>32.0</v>
      </c>
      <c r="N74" s="4" t="s">
        <v>35</v>
      </c>
      <c r="O74" s="4">
        <v>114.0</v>
      </c>
      <c r="P74" s="6">
        <v>18.0</v>
      </c>
      <c r="Q74" s="4">
        <v>0.0</v>
      </c>
      <c r="R74" s="9"/>
      <c r="S74" s="9"/>
      <c r="T74" s="9"/>
      <c r="U74" s="9"/>
      <c r="V74" s="6" t="s">
        <v>155</v>
      </c>
      <c r="W74" s="6" t="s">
        <v>155</v>
      </c>
      <c r="X74" s="6" t="s">
        <v>37</v>
      </c>
      <c r="Y74" s="5"/>
    </row>
    <row r="75" hidden="1">
      <c r="A75" s="15">
        <v>44597.0</v>
      </c>
      <c r="B75" s="4" t="s">
        <v>30</v>
      </c>
      <c r="C75" s="4">
        <v>1551.0</v>
      </c>
      <c r="D75" s="4" t="s">
        <v>157</v>
      </c>
      <c r="E75" s="5"/>
      <c r="F75" s="5"/>
      <c r="G75" s="4" t="s">
        <v>117</v>
      </c>
      <c r="H75" s="6">
        <v>1.0</v>
      </c>
      <c r="I75" s="6" t="s">
        <v>76</v>
      </c>
      <c r="J75" s="6">
        <v>9.0</v>
      </c>
      <c r="K75" s="6" t="s">
        <v>43</v>
      </c>
      <c r="L75" s="6">
        <v>5.0</v>
      </c>
      <c r="M75" s="4">
        <v>32.0</v>
      </c>
      <c r="N75" s="4" t="s">
        <v>35</v>
      </c>
      <c r="O75" s="4">
        <v>114.0</v>
      </c>
      <c r="P75" s="6">
        <v>17.0</v>
      </c>
      <c r="Q75" s="4">
        <v>0.0</v>
      </c>
      <c r="R75" s="9"/>
      <c r="S75" s="9"/>
      <c r="T75" s="9"/>
      <c r="U75" s="9"/>
      <c r="V75" s="6" t="s">
        <v>155</v>
      </c>
      <c r="W75" s="6" t="s">
        <v>155</v>
      </c>
      <c r="X75" s="6" t="s">
        <v>37</v>
      </c>
      <c r="Y75" s="5"/>
    </row>
    <row r="76" hidden="1">
      <c r="A76" s="15">
        <v>44590.0</v>
      </c>
      <c r="B76" s="4" t="s">
        <v>30</v>
      </c>
      <c r="C76" s="4">
        <v>1551.0</v>
      </c>
      <c r="D76" s="4" t="s">
        <v>158</v>
      </c>
      <c r="E76" s="5"/>
      <c r="F76" s="5"/>
      <c r="G76" s="4" t="s">
        <v>117</v>
      </c>
      <c r="H76" s="6">
        <v>1.0</v>
      </c>
      <c r="I76" s="6" t="s">
        <v>42</v>
      </c>
      <c r="J76" s="6">
        <v>9.0</v>
      </c>
      <c r="K76" s="6" t="s">
        <v>43</v>
      </c>
      <c r="L76" s="6">
        <v>6.0</v>
      </c>
      <c r="M76" s="4">
        <v>32.0</v>
      </c>
      <c r="N76" s="4" t="s">
        <v>35</v>
      </c>
      <c r="O76" s="4">
        <v>114.0</v>
      </c>
      <c r="P76" s="6">
        <v>22.0</v>
      </c>
      <c r="Q76" s="4">
        <v>0.0</v>
      </c>
      <c r="R76" s="9"/>
      <c r="S76" s="9"/>
      <c r="T76" s="9"/>
      <c r="U76" s="9"/>
      <c r="V76" s="6" t="s">
        <v>155</v>
      </c>
      <c r="W76" s="6" t="s">
        <v>155</v>
      </c>
      <c r="X76" s="6" t="s">
        <v>37</v>
      </c>
      <c r="Y76" s="5"/>
    </row>
    <row r="77" hidden="1">
      <c r="A77" s="15">
        <v>44584.0</v>
      </c>
      <c r="B77" s="4" t="s">
        <v>30</v>
      </c>
      <c r="C77" s="4">
        <v>1551.0</v>
      </c>
      <c r="D77" s="4" t="s">
        <v>159</v>
      </c>
      <c r="E77" s="5"/>
      <c r="F77" s="5"/>
      <c r="G77" s="4" t="s">
        <v>117</v>
      </c>
      <c r="H77" s="6">
        <v>1.0</v>
      </c>
      <c r="I77" s="6" t="s">
        <v>33</v>
      </c>
      <c r="J77" s="6">
        <v>9.0</v>
      </c>
      <c r="K77" s="6" t="s">
        <v>43</v>
      </c>
      <c r="L77" s="6">
        <v>6.0</v>
      </c>
      <c r="M77" s="4">
        <v>32.0</v>
      </c>
      <c r="N77" s="4" t="s">
        <v>35</v>
      </c>
      <c r="O77" s="4">
        <v>114.0</v>
      </c>
      <c r="P77" s="6" t="s">
        <v>45</v>
      </c>
      <c r="Q77" s="4">
        <v>0.0</v>
      </c>
      <c r="R77" s="9"/>
      <c r="S77" s="9"/>
      <c r="T77" s="9"/>
      <c r="U77" s="9"/>
      <c r="V77" s="6" t="s">
        <v>155</v>
      </c>
      <c r="W77" s="6" t="s">
        <v>155</v>
      </c>
      <c r="X77" s="6" t="s">
        <v>37</v>
      </c>
      <c r="Y77" s="5"/>
    </row>
    <row r="78" hidden="1">
      <c r="A78" s="15">
        <v>44576.0</v>
      </c>
      <c r="B78" s="4" t="s">
        <v>30</v>
      </c>
      <c r="C78" s="4">
        <v>1551.0</v>
      </c>
      <c r="D78" s="4" t="s">
        <v>160</v>
      </c>
      <c r="E78" s="5"/>
      <c r="F78" s="5"/>
      <c r="G78" s="4" t="s">
        <v>117</v>
      </c>
      <c r="H78" s="6">
        <v>1.0</v>
      </c>
      <c r="I78" s="6" t="s">
        <v>42</v>
      </c>
      <c r="J78" s="6">
        <v>9.0</v>
      </c>
      <c r="K78" s="6" t="s">
        <v>43</v>
      </c>
      <c r="L78" s="6">
        <v>6.0</v>
      </c>
      <c r="M78" s="4">
        <v>32.0</v>
      </c>
      <c r="N78" s="4" t="s">
        <v>35</v>
      </c>
      <c r="O78" s="4">
        <v>114.0</v>
      </c>
      <c r="P78" s="6">
        <v>18.0</v>
      </c>
      <c r="Q78" s="4">
        <v>0.0</v>
      </c>
      <c r="R78" s="9"/>
      <c r="S78" s="9"/>
      <c r="T78" s="9"/>
      <c r="U78" s="9"/>
      <c r="V78" s="6" t="s">
        <v>155</v>
      </c>
      <c r="W78" s="6" t="s">
        <v>155</v>
      </c>
      <c r="X78" s="6" t="s">
        <v>37</v>
      </c>
      <c r="Y78" s="5"/>
    </row>
    <row r="79" hidden="1">
      <c r="A79" s="24">
        <v>44561.0</v>
      </c>
      <c r="B79" s="4" t="s">
        <v>30</v>
      </c>
      <c r="C79" s="4">
        <v>1551.0</v>
      </c>
      <c r="D79" s="4" t="s">
        <v>161</v>
      </c>
      <c r="E79" s="5"/>
      <c r="F79" s="5"/>
      <c r="G79" s="4" t="s">
        <v>117</v>
      </c>
      <c r="H79" s="6">
        <v>1.0</v>
      </c>
      <c r="I79" s="6" t="s">
        <v>42</v>
      </c>
      <c r="J79" s="6">
        <v>9.0</v>
      </c>
      <c r="K79" s="6" t="s">
        <v>43</v>
      </c>
      <c r="L79" s="6">
        <v>6.0</v>
      </c>
      <c r="M79" s="4">
        <v>32.0</v>
      </c>
      <c r="N79" s="4" t="s">
        <v>35</v>
      </c>
      <c r="O79" s="4">
        <v>114.0</v>
      </c>
      <c r="P79" s="6">
        <v>21.0</v>
      </c>
      <c r="Q79" s="4">
        <v>0.0</v>
      </c>
      <c r="R79" s="9"/>
      <c r="S79" s="9"/>
      <c r="T79" s="9"/>
      <c r="U79" s="9"/>
      <c r="V79" s="6" t="s">
        <v>155</v>
      </c>
      <c r="W79" s="6" t="s">
        <v>155</v>
      </c>
      <c r="X79" s="6" t="s">
        <v>37</v>
      </c>
      <c r="Y79" s="5"/>
    </row>
    <row r="80" hidden="1">
      <c r="A80" s="24">
        <v>44548.0</v>
      </c>
      <c r="B80" s="4" t="s">
        <v>30</v>
      </c>
      <c r="C80" s="4">
        <v>1551.0</v>
      </c>
      <c r="D80" s="4" t="s">
        <v>162</v>
      </c>
      <c r="E80" s="5"/>
      <c r="F80" s="5"/>
      <c r="G80" s="4" t="s">
        <v>117</v>
      </c>
      <c r="H80" s="6">
        <v>1.0</v>
      </c>
      <c r="I80" s="6" t="s">
        <v>33</v>
      </c>
      <c r="J80" s="6">
        <v>9.0</v>
      </c>
      <c r="K80" s="6" t="s">
        <v>43</v>
      </c>
      <c r="L80" s="6">
        <v>6.0</v>
      </c>
      <c r="M80" s="4">
        <v>32.0</v>
      </c>
      <c r="N80" s="4" t="s">
        <v>35</v>
      </c>
      <c r="O80" s="4">
        <v>114.0</v>
      </c>
      <c r="P80" s="6" t="s">
        <v>45</v>
      </c>
      <c r="Q80" s="4">
        <v>0.0</v>
      </c>
      <c r="R80" s="9"/>
      <c r="S80" s="9"/>
      <c r="T80" s="9"/>
      <c r="U80" s="9"/>
      <c r="V80" s="6" t="s">
        <v>155</v>
      </c>
      <c r="W80" s="6" t="s">
        <v>155</v>
      </c>
      <c r="X80" s="6" t="s">
        <v>37</v>
      </c>
      <c r="Y80" s="5"/>
    </row>
    <row r="81" hidden="1">
      <c r="A81" s="24">
        <v>44527.0</v>
      </c>
      <c r="B81" s="4" t="s">
        <v>30</v>
      </c>
      <c r="C81" s="4">
        <v>1551.0</v>
      </c>
      <c r="D81" s="4" t="s">
        <v>163</v>
      </c>
      <c r="E81" s="5"/>
      <c r="F81" s="5"/>
      <c r="G81" s="4" t="s">
        <v>117</v>
      </c>
      <c r="H81" s="6">
        <v>1.0</v>
      </c>
      <c r="I81" s="6" t="s">
        <v>42</v>
      </c>
      <c r="J81" s="6">
        <v>9.0</v>
      </c>
      <c r="K81" s="6" t="s">
        <v>43</v>
      </c>
      <c r="L81" s="6">
        <v>6.0</v>
      </c>
      <c r="M81" s="4">
        <v>32.0</v>
      </c>
      <c r="N81" s="4" t="s">
        <v>35</v>
      </c>
      <c r="O81" s="4">
        <v>114.0</v>
      </c>
      <c r="P81" s="6">
        <v>19.0</v>
      </c>
      <c r="Q81" s="4">
        <v>0.0</v>
      </c>
      <c r="R81" s="9"/>
      <c r="S81" s="9"/>
      <c r="T81" s="9"/>
      <c r="U81" s="9"/>
      <c r="V81" s="6" t="s">
        <v>155</v>
      </c>
      <c r="W81" s="6" t="s">
        <v>155</v>
      </c>
      <c r="X81" s="6" t="s">
        <v>37</v>
      </c>
      <c r="Y81" s="5"/>
    </row>
    <row r="82" hidden="1">
      <c r="A82" s="15">
        <v>44506.0</v>
      </c>
      <c r="B82" s="4" t="s">
        <v>30</v>
      </c>
      <c r="C82" s="4">
        <v>1551.0</v>
      </c>
      <c r="D82" s="4" t="s">
        <v>164</v>
      </c>
      <c r="E82" s="5"/>
      <c r="F82" s="5"/>
      <c r="G82" s="4" t="s">
        <v>75</v>
      </c>
      <c r="H82" s="6">
        <v>1.0</v>
      </c>
      <c r="I82" s="6" t="s">
        <v>33</v>
      </c>
      <c r="J82" s="6">
        <v>18.0</v>
      </c>
      <c r="K82" s="6" t="s">
        <v>43</v>
      </c>
      <c r="L82" s="6">
        <v>13.0</v>
      </c>
      <c r="M82" s="4">
        <v>71.0</v>
      </c>
      <c r="N82" s="4" t="s">
        <v>165</v>
      </c>
      <c r="O82" s="4">
        <v>126.0</v>
      </c>
      <c r="P82" s="6" t="s">
        <v>45</v>
      </c>
      <c r="Q82" s="4">
        <v>0.0</v>
      </c>
      <c r="R82" s="9"/>
      <c r="S82" s="9"/>
      <c r="T82" s="9"/>
      <c r="U82" s="9"/>
      <c r="V82" s="6" t="s">
        <v>155</v>
      </c>
      <c r="W82" s="6" t="s">
        <v>155</v>
      </c>
      <c r="X82" s="6" t="s">
        <v>37</v>
      </c>
      <c r="Y82" s="5"/>
    </row>
    <row r="83">
      <c r="A83" s="24">
        <v>44493.0</v>
      </c>
      <c r="B83" s="4" t="s">
        <v>30</v>
      </c>
      <c r="C83" s="4">
        <v>1551.0</v>
      </c>
      <c r="D83" s="4" t="s">
        <v>166</v>
      </c>
      <c r="E83" s="5"/>
      <c r="F83" s="5"/>
      <c r="G83" s="4" t="s">
        <v>117</v>
      </c>
      <c r="H83" s="6">
        <v>1.0</v>
      </c>
      <c r="I83" s="6" t="s">
        <v>33</v>
      </c>
      <c r="J83" s="6">
        <v>9.0</v>
      </c>
      <c r="K83" s="6" t="s">
        <v>34</v>
      </c>
      <c r="L83" s="6">
        <v>6.0</v>
      </c>
      <c r="M83" s="4">
        <v>32.0</v>
      </c>
      <c r="N83" s="4" t="s">
        <v>35</v>
      </c>
      <c r="O83" s="4">
        <v>114.0</v>
      </c>
      <c r="P83" s="6">
        <v>31.0</v>
      </c>
      <c r="Q83" s="4">
        <v>80.0</v>
      </c>
      <c r="R83" s="6">
        <v>-1.0</v>
      </c>
      <c r="S83" s="6">
        <v>17.0</v>
      </c>
      <c r="T83" s="6" t="s">
        <v>37</v>
      </c>
      <c r="U83" s="6" t="s">
        <v>37</v>
      </c>
      <c r="V83" s="6" t="s">
        <v>155</v>
      </c>
      <c r="W83" s="6" t="s">
        <v>155</v>
      </c>
      <c r="X83" s="6" t="s">
        <v>37</v>
      </c>
      <c r="Y83" s="5"/>
    </row>
    <row r="84" hidden="1">
      <c r="A84" s="15">
        <v>44478.0</v>
      </c>
      <c r="B84" s="4" t="s">
        <v>30</v>
      </c>
      <c r="C84" s="4">
        <v>1551.0</v>
      </c>
      <c r="D84" s="4" t="s">
        <v>167</v>
      </c>
      <c r="E84" s="5"/>
      <c r="F84" s="5"/>
      <c r="G84" s="4" t="s">
        <v>117</v>
      </c>
      <c r="H84" s="6">
        <v>1.0</v>
      </c>
      <c r="I84" s="6" t="s">
        <v>33</v>
      </c>
      <c r="J84" s="6">
        <v>18.0</v>
      </c>
      <c r="K84" s="6" t="s">
        <v>43</v>
      </c>
      <c r="L84" s="6">
        <v>11.0</v>
      </c>
      <c r="M84" s="4">
        <v>64.0</v>
      </c>
      <c r="N84" s="4" t="s">
        <v>44</v>
      </c>
      <c r="O84" s="4">
        <v>114.0</v>
      </c>
      <c r="P84" s="6" t="s">
        <v>45</v>
      </c>
      <c r="Q84" s="4">
        <v>0.0</v>
      </c>
      <c r="R84" s="9"/>
      <c r="S84" s="9"/>
      <c r="T84" s="9"/>
      <c r="U84" s="9"/>
      <c r="V84" s="6" t="s">
        <v>155</v>
      </c>
      <c r="W84" s="6" t="s">
        <v>155</v>
      </c>
      <c r="X84" s="6" t="s">
        <v>37</v>
      </c>
      <c r="Y84" s="5"/>
    </row>
    <row r="85" hidden="1">
      <c r="A85" s="15">
        <v>44401.0</v>
      </c>
      <c r="B85" s="4" t="s">
        <v>30</v>
      </c>
      <c r="C85" s="4">
        <v>1551.0</v>
      </c>
      <c r="D85" s="4" t="s">
        <v>168</v>
      </c>
      <c r="E85" s="5"/>
      <c r="F85" s="5"/>
      <c r="G85" s="4" t="s">
        <v>117</v>
      </c>
      <c r="H85" s="6">
        <v>1.0</v>
      </c>
      <c r="I85" s="6" t="s">
        <v>42</v>
      </c>
      <c r="J85" s="6">
        <v>9.0</v>
      </c>
      <c r="K85" s="6" t="s">
        <v>43</v>
      </c>
      <c r="L85" s="6">
        <v>6.0</v>
      </c>
      <c r="M85" s="4">
        <v>32.0</v>
      </c>
      <c r="N85" s="4" t="s">
        <v>35</v>
      </c>
      <c r="O85" s="4">
        <v>114.0</v>
      </c>
      <c r="P85" s="6">
        <v>17.0</v>
      </c>
      <c r="Q85" s="4">
        <v>0.0</v>
      </c>
      <c r="R85" s="9"/>
      <c r="S85" s="9"/>
      <c r="T85" s="9"/>
      <c r="U85" s="9"/>
      <c r="V85" s="6" t="s">
        <v>155</v>
      </c>
      <c r="W85" s="6" t="s">
        <v>155</v>
      </c>
      <c r="X85" s="6" t="s">
        <v>37</v>
      </c>
      <c r="Y85" s="5"/>
    </row>
    <row r="86">
      <c r="A86" s="15">
        <v>44394.0</v>
      </c>
      <c r="B86" s="4" t="s">
        <v>30</v>
      </c>
      <c r="C86" s="4">
        <v>1551.0</v>
      </c>
      <c r="D86" s="4" t="s">
        <v>169</v>
      </c>
      <c r="E86" s="5"/>
      <c r="F86" s="5"/>
      <c r="G86" s="4" t="s">
        <v>117</v>
      </c>
      <c r="H86" s="6">
        <v>1.0</v>
      </c>
      <c r="I86" s="6" t="s">
        <v>33</v>
      </c>
      <c r="J86" s="6">
        <v>9.0</v>
      </c>
      <c r="K86" s="6" t="s">
        <v>34</v>
      </c>
      <c r="L86" s="6">
        <v>6.0</v>
      </c>
      <c r="M86" s="4">
        <v>32.0</v>
      </c>
      <c r="N86" s="4" t="s">
        <v>35</v>
      </c>
      <c r="O86" s="4">
        <v>114.0</v>
      </c>
      <c r="P86" s="6">
        <v>32.0</v>
      </c>
      <c r="Q86" s="4">
        <v>79.0</v>
      </c>
      <c r="R86" s="6">
        <v>-1.0</v>
      </c>
      <c r="S86" s="6">
        <v>16.0</v>
      </c>
      <c r="T86" s="6" t="s">
        <v>37</v>
      </c>
      <c r="U86" s="6" t="s">
        <v>37</v>
      </c>
      <c r="V86" s="6" t="s">
        <v>155</v>
      </c>
      <c r="W86" s="6" t="s">
        <v>155</v>
      </c>
      <c r="X86" s="6" t="s">
        <v>37</v>
      </c>
      <c r="Y86" s="5"/>
    </row>
    <row r="87">
      <c r="A87" s="15">
        <v>44374.0</v>
      </c>
      <c r="B87" s="4" t="s">
        <v>30</v>
      </c>
      <c r="C87" s="4">
        <v>1551.0</v>
      </c>
      <c r="D87" s="4" t="s">
        <v>170</v>
      </c>
      <c r="E87" s="5"/>
      <c r="F87" s="5"/>
      <c r="G87" s="4" t="s">
        <v>117</v>
      </c>
      <c r="H87" s="6">
        <v>1.0</v>
      </c>
      <c r="I87" s="6" t="s">
        <v>33</v>
      </c>
      <c r="J87" s="6">
        <v>18.0</v>
      </c>
      <c r="K87" s="6" t="s">
        <v>62</v>
      </c>
      <c r="L87" s="6">
        <v>12.0</v>
      </c>
      <c r="M87" s="4">
        <v>64.0</v>
      </c>
      <c r="N87" s="4" t="s">
        <v>44</v>
      </c>
      <c r="O87" s="4">
        <v>114.0</v>
      </c>
      <c r="P87" s="6">
        <v>37.0</v>
      </c>
      <c r="Q87" s="4">
        <v>75.0</v>
      </c>
      <c r="R87" s="6">
        <v>-1.0</v>
      </c>
      <c r="S87" s="6">
        <v>12.5</v>
      </c>
      <c r="T87" s="6" t="s">
        <v>37</v>
      </c>
      <c r="U87" s="6" t="s">
        <v>37</v>
      </c>
      <c r="V87" s="6" t="s">
        <v>171</v>
      </c>
      <c r="W87" s="6" t="s">
        <v>155</v>
      </c>
      <c r="X87" s="6" t="s">
        <v>172</v>
      </c>
      <c r="Y87" s="5"/>
    </row>
    <row r="88" hidden="1">
      <c r="A88" s="15">
        <v>44366.0</v>
      </c>
      <c r="B88" s="4" t="s">
        <v>30</v>
      </c>
      <c r="C88" s="4">
        <v>1551.0</v>
      </c>
      <c r="D88" s="4" t="s">
        <v>173</v>
      </c>
      <c r="E88" s="5"/>
      <c r="F88" s="5"/>
      <c r="G88" s="4" t="s">
        <v>117</v>
      </c>
      <c r="H88" s="6">
        <v>1.0</v>
      </c>
      <c r="I88" s="6" t="s">
        <v>33</v>
      </c>
      <c r="J88" s="6">
        <v>18.0</v>
      </c>
      <c r="K88" s="6" t="s">
        <v>43</v>
      </c>
      <c r="L88" s="6">
        <v>12.0</v>
      </c>
      <c r="M88" s="4">
        <v>64.0</v>
      </c>
      <c r="N88" s="4" t="s">
        <v>44</v>
      </c>
      <c r="O88" s="4">
        <v>114.0</v>
      </c>
      <c r="P88" s="6" t="s">
        <v>59</v>
      </c>
      <c r="Q88" s="4">
        <v>0.0</v>
      </c>
      <c r="R88" s="9"/>
      <c r="S88" s="9"/>
      <c r="T88" s="9"/>
      <c r="U88" s="9"/>
      <c r="V88" s="6" t="s">
        <v>171</v>
      </c>
      <c r="W88" s="6" t="s">
        <v>171</v>
      </c>
      <c r="X88" s="6" t="s">
        <v>37</v>
      </c>
      <c r="Y88" s="5"/>
    </row>
    <row r="89" hidden="1">
      <c r="A89" s="15">
        <v>44352.0</v>
      </c>
      <c r="B89" s="4" t="s">
        <v>30</v>
      </c>
      <c r="C89" s="4">
        <v>1551.0</v>
      </c>
      <c r="D89" s="4" t="s">
        <v>174</v>
      </c>
      <c r="E89" s="5"/>
      <c r="F89" s="5"/>
      <c r="G89" s="4" t="s">
        <v>117</v>
      </c>
      <c r="H89" s="6">
        <v>1.0</v>
      </c>
      <c r="I89" s="6" t="s">
        <v>42</v>
      </c>
      <c r="J89" s="6">
        <v>18.0</v>
      </c>
      <c r="K89" s="6" t="s">
        <v>43</v>
      </c>
      <c r="L89" s="6">
        <v>9.0</v>
      </c>
      <c r="M89" s="4">
        <v>64.0</v>
      </c>
      <c r="N89" s="4" t="s">
        <v>44</v>
      </c>
      <c r="O89" s="4">
        <v>114.0</v>
      </c>
      <c r="P89" s="6">
        <v>42.0</v>
      </c>
      <c r="Q89" s="4">
        <v>0.0</v>
      </c>
      <c r="R89" s="9"/>
      <c r="S89" s="9"/>
      <c r="T89" s="9"/>
      <c r="U89" s="9"/>
      <c r="V89" s="6" t="s">
        <v>171</v>
      </c>
      <c r="W89" s="6" t="s">
        <v>171</v>
      </c>
      <c r="X89" s="6" t="s">
        <v>37</v>
      </c>
      <c r="Y89" s="5"/>
    </row>
    <row r="90" hidden="1">
      <c r="A90" s="15">
        <v>44338.0</v>
      </c>
      <c r="B90" s="4" t="s">
        <v>30</v>
      </c>
      <c r="C90" s="4">
        <v>1551.0</v>
      </c>
      <c r="D90" s="4" t="s">
        <v>175</v>
      </c>
      <c r="E90" s="5"/>
      <c r="F90" s="5"/>
      <c r="G90" s="4" t="s">
        <v>117</v>
      </c>
      <c r="H90" s="6">
        <v>1.0</v>
      </c>
      <c r="I90" s="6" t="s">
        <v>76</v>
      </c>
      <c r="J90" s="6">
        <v>18.0</v>
      </c>
      <c r="K90" s="6" t="s">
        <v>43</v>
      </c>
      <c r="L90" s="6">
        <v>10.0</v>
      </c>
      <c r="M90" s="4">
        <v>64.0</v>
      </c>
      <c r="N90" s="4" t="s">
        <v>44</v>
      </c>
      <c r="O90" s="4">
        <v>114.0</v>
      </c>
      <c r="P90" s="6">
        <v>37.0</v>
      </c>
      <c r="Q90" s="4">
        <v>0.0</v>
      </c>
      <c r="R90" s="9"/>
      <c r="S90" s="9"/>
      <c r="T90" s="9"/>
      <c r="U90" s="9"/>
      <c r="V90" s="6" t="s">
        <v>171</v>
      </c>
      <c r="W90" s="6" t="s">
        <v>171</v>
      </c>
      <c r="X90" s="6" t="s">
        <v>37</v>
      </c>
      <c r="Y90" s="5"/>
    </row>
    <row r="91" hidden="1">
      <c r="A91" s="15">
        <v>44331.0</v>
      </c>
      <c r="B91" s="4" t="s">
        <v>30</v>
      </c>
      <c r="C91" s="4">
        <v>1551.0</v>
      </c>
      <c r="D91" s="4" t="s">
        <v>176</v>
      </c>
      <c r="E91" s="5"/>
      <c r="F91" s="5"/>
      <c r="G91" s="4" t="s">
        <v>117</v>
      </c>
      <c r="H91" s="6">
        <v>1.0</v>
      </c>
      <c r="I91" s="6" t="s">
        <v>33</v>
      </c>
      <c r="J91" s="6">
        <v>18.0</v>
      </c>
      <c r="K91" s="6" t="s">
        <v>43</v>
      </c>
      <c r="L91" s="6">
        <v>12.0</v>
      </c>
      <c r="M91" s="4">
        <v>64.0</v>
      </c>
      <c r="N91" s="4" t="s">
        <v>44</v>
      </c>
      <c r="O91" s="4">
        <v>114.0</v>
      </c>
      <c r="P91" s="6" t="s">
        <v>59</v>
      </c>
      <c r="Q91" s="4">
        <v>0.0</v>
      </c>
      <c r="R91" s="9"/>
      <c r="S91" s="9"/>
      <c r="T91" s="9"/>
      <c r="U91" s="9"/>
      <c r="V91" s="6" t="s">
        <v>171</v>
      </c>
      <c r="W91" s="6" t="s">
        <v>171</v>
      </c>
      <c r="X91" s="6" t="s">
        <v>37</v>
      </c>
      <c r="Y91" s="5"/>
    </row>
    <row r="92">
      <c r="A92" s="15">
        <v>44324.0</v>
      </c>
      <c r="B92" s="4" t="s">
        <v>30</v>
      </c>
      <c r="C92" s="4">
        <v>1551.0</v>
      </c>
      <c r="D92" s="4" t="s">
        <v>177</v>
      </c>
      <c r="E92" s="5"/>
      <c r="F92" s="5"/>
      <c r="G92" s="4" t="s">
        <v>117</v>
      </c>
      <c r="H92" s="6">
        <v>1.0</v>
      </c>
      <c r="I92" s="6" t="s">
        <v>33</v>
      </c>
      <c r="J92" s="6">
        <v>18.0</v>
      </c>
      <c r="K92" s="6" t="s">
        <v>62</v>
      </c>
      <c r="L92" s="6">
        <v>12.0</v>
      </c>
      <c r="M92" s="4">
        <v>64.0</v>
      </c>
      <c r="N92" s="4" t="s">
        <v>44</v>
      </c>
      <c r="O92" s="4">
        <v>114.0</v>
      </c>
      <c r="P92" s="6">
        <v>33.0</v>
      </c>
      <c r="Q92" s="4">
        <v>79.0</v>
      </c>
      <c r="R92" s="6">
        <v>0.0</v>
      </c>
      <c r="S92" s="6">
        <v>15.5</v>
      </c>
      <c r="T92" s="6" t="s">
        <v>37</v>
      </c>
      <c r="U92" s="6" t="s">
        <v>37</v>
      </c>
      <c r="V92" s="6" t="s">
        <v>171</v>
      </c>
      <c r="W92" s="6" t="s">
        <v>171</v>
      </c>
      <c r="X92" s="6" t="s">
        <v>37</v>
      </c>
      <c r="Y92" s="5"/>
    </row>
    <row r="93" hidden="1">
      <c r="A93" s="15">
        <v>44248.0</v>
      </c>
      <c r="B93" s="4" t="s">
        <v>30</v>
      </c>
      <c r="C93" s="4">
        <v>1551.0</v>
      </c>
      <c r="D93" s="4" t="s">
        <v>178</v>
      </c>
      <c r="E93" s="5"/>
      <c r="F93" s="5"/>
      <c r="G93" s="4" t="s">
        <v>117</v>
      </c>
      <c r="H93" s="6">
        <v>1.0</v>
      </c>
      <c r="I93" s="6" t="s">
        <v>33</v>
      </c>
      <c r="J93" s="6">
        <v>9.0</v>
      </c>
      <c r="K93" s="6" t="s">
        <v>43</v>
      </c>
      <c r="L93" s="6">
        <v>6.0</v>
      </c>
      <c r="M93" s="4">
        <v>32.0</v>
      </c>
      <c r="N93" s="4" t="s">
        <v>35</v>
      </c>
      <c r="O93" s="4">
        <v>114.0</v>
      </c>
      <c r="P93" s="6" t="s">
        <v>45</v>
      </c>
      <c r="Q93" s="4">
        <v>0.0</v>
      </c>
      <c r="R93" s="9"/>
      <c r="S93" s="9"/>
      <c r="T93" s="9"/>
      <c r="U93" s="9"/>
      <c r="V93" s="6" t="s">
        <v>171</v>
      </c>
      <c r="W93" s="6" t="s">
        <v>171</v>
      </c>
      <c r="X93" s="6" t="s">
        <v>37</v>
      </c>
      <c r="Y93" s="5"/>
    </row>
    <row r="94">
      <c r="A94" s="15">
        <v>44247.0</v>
      </c>
      <c r="B94" s="4" t="s">
        <v>30</v>
      </c>
      <c r="C94" s="4">
        <v>1551.0</v>
      </c>
      <c r="D94" s="4" t="s">
        <v>87</v>
      </c>
      <c r="E94" s="5"/>
      <c r="F94" s="5"/>
      <c r="G94" s="4" t="s">
        <v>117</v>
      </c>
      <c r="H94" s="6">
        <v>1.0</v>
      </c>
      <c r="I94" s="6" t="s">
        <v>33</v>
      </c>
      <c r="J94" s="6">
        <v>9.0</v>
      </c>
      <c r="K94" s="6" t="s">
        <v>34</v>
      </c>
      <c r="L94" s="6">
        <v>6.0</v>
      </c>
      <c r="M94" s="4">
        <v>32.0</v>
      </c>
      <c r="N94" s="4" t="s">
        <v>35</v>
      </c>
      <c r="O94" s="4">
        <v>114.0</v>
      </c>
      <c r="P94" s="6">
        <v>34.0</v>
      </c>
      <c r="Q94" s="4">
        <v>78.0</v>
      </c>
      <c r="R94" s="6">
        <v>-1.0</v>
      </c>
      <c r="S94" s="35">
        <v>15.0</v>
      </c>
      <c r="T94" s="6" t="s">
        <v>37</v>
      </c>
      <c r="U94" s="6" t="s">
        <v>37</v>
      </c>
      <c r="V94" s="6" t="s">
        <v>179</v>
      </c>
      <c r="W94" s="6" t="s">
        <v>171</v>
      </c>
      <c r="X94" s="6" t="s">
        <v>172</v>
      </c>
      <c r="Y94" s="5"/>
    </row>
    <row r="95" hidden="1">
      <c r="A95" s="15">
        <v>44226.0</v>
      </c>
      <c r="B95" s="4" t="s">
        <v>30</v>
      </c>
      <c r="C95" s="4">
        <v>1551.0</v>
      </c>
      <c r="D95" s="4" t="s">
        <v>180</v>
      </c>
      <c r="E95" s="5"/>
      <c r="F95" s="5"/>
      <c r="G95" s="4" t="s">
        <v>117</v>
      </c>
      <c r="H95" s="6">
        <v>1.0</v>
      </c>
      <c r="I95" s="6" t="s">
        <v>33</v>
      </c>
      <c r="J95" s="6">
        <v>9.0</v>
      </c>
      <c r="K95" s="6" t="s">
        <v>43</v>
      </c>
      <c r="L95" s="6">
        <v>6.0</v>
      </c>
      <c r="M95" s="4">
        <v>32.0</v>
      </c>
      <c r="N95" s="4" t="s">
        <v>35</v>
      </c>
      <c r="O95" s="4">
        <v>114.0</v>
      </c>
      <c r="P95" s="6">
        <v>14.0</v>
      </c>
      <c r="Q95" s="4">
        <v>0.0</v>
      </c>
      <c r="R95" s="9"/>
      <c r="S95" s="9"/>
      <c r="T95" s="9"/>
      <c r="U95" s="9"/>
      <c r="V95" s="6" t="s">
        <v>179</v>
      </c>
      <c r="W95" s="6" t="s">
        <v>179</v>
      </c>
      <c r="X95" s="6" t="s">
        <v>37</v>
      </c>
      <c r="Y95" s="5"/>
    </row>
    <row r="96" hidden="1">
      <c r="A96" s="24">
        <v>44184.0</v>
      </c>
      <c r="B96" s="4" t="s">
        <v>30</v>
      </c>
      <c r="C96" s="4">
        <v>1551.0</v>
      </c>
      <c r="D96" s="4" t="s">
        <v>181</v>
      </c>
      <c r="E96" s="5"/>
      <c r="F96" s="5"/>
      <c r="G96" s="4" t="s">
        <v>117</v>
      </c>
      <c r="H96" s="6">
        <v>1.0</v>
      </c>
      <c r="I96" s="6" t="s">
        <v>33</v>
      </c>
      <c r="J96" s="6">
        <v>18.0</v>
      </c>
      <c r="K96" s="6" t="s">
        <v>43</v>
      </c>
      <c r="L96" s="6">
        <v>6.0</v>
      </c>
      <c r="M96" s="5"/>
      <c r="N96" s="4" t="s">
        <v>35</v>
      </c>
      <c r="O96" s="4">
        <v>114.0</v>
      </c>
      <c r="P96" s="6">
        <v>16.0</v>
      </c>
      <c r="Q96" s="4">
        <v>0.0</v>
      </c>
      <c r="R96" s="9"/>
      <c r="S96" s="9"/>
      <c r="T96" s="9"/>
      <c r="U96" s="9"/>
      <c r="V96" s="6" t="s">
        <v>179</v>
      </c>
      <c r="W96" s="6" t="s">
        <v>179</v>
      </c>
      <c r="X96" s="6" t="s">
        <v>37</v>
      </c>
      <c r="Y96" s="5"/>
    </row>
    <row r="97" hidden="1">
      <c r="A97" s="24">
        <v>44149.0</v>
      </c>
      <c r="B97" s="4" t="s">
        <v>30</v>
      </c>
      <c r="C97" s="4">
        <v>1551.0</v>
      </c>
      <c r="D97" s="4" t="s">
        <v>182</v>
      </c>
      <c r="E97" s="5"/>
      <c r="F97" s="5"/>
      <c r="G97" s="4" t="s">
        <v>117</v>
      </c>
      <c r="H97" s="6">
        <v>1.0</v>
      </c>
      <c r="I97" s="6" t="s">
        <v>76</v>
      </c>
      <c r="J97" s="6">
        <v>9.0</v>
      </c>
      <c r="K97" s="6" t="s">
        <v>43</v>
      </c>
      <c r="L97" s="6">
        <v>7.0</v>
      </c>
      <c r="M97" s="5"/>
      <c r="N97" s="4" t="s">
        <v>35</v>
      </c>
      <c r="O97" s="4">
        <v>114.0</v>
      </c>
      <c r="P97" s="6" t="s">
        <v>59</v>
      </c>
      <c r="Q97" s="5"/>
      <c r="R97" s="9"/>
      <c r="S97" s="9"/>
      <c r="T97" s="9"/>
      <c r="U97" s="9"/>
      <c r="V97" s="6" t="s">
        <v>183</v>
      </c>
      <c r="W97" s="6" t="s">
        <v>183</v>
      </c>
      <c r="X97" s="6" t="s">
        <v>37</v>
      </c>
      <c r="Y97" s="5"/>
    </row>
    <row r="98">
      <c r="A98" s="24">
        <v>44129.0</v>
      </c>
      <c r="B98" s="4" t="s">
        <v>30</v>
      </c>
      <c r="C98" s="4">
        <v>1551.0</v>
      </c>
      <c r="D98" s="4" t="s">
        <v>184</v>
      </c>
      <c r="E98" s="5"/>
      <c r="F98" s="5"/>
      <c r="G98" s="4" t="s">
        <v>117</v>
      </c>
      <c r="H98" s="6">
        <v>1.0</v>
      </c>
      <c r="I98" s="6" t="s">
        <v>33</v>
      </c>
      <c r="J98" s="6">
        <v>9.0</v>
      </c>
      <c r="K98" s="6" t="s">
        <v>34</v>
      </c>
      <c r="L98" s="6">
        <v>7.0</v>
      </c>
      <c r="M98" s="5"/>
      <c r="N98" s="4" t="s">
        <v>35</v>
      </c>
      <c r="O98" s="4">
        <v>114.0</v>
      </c>
      <c r="P98" s="6">
        <v>38.0</v>
      </c>
      <c r="Q98" s="5"/>
      <c r="R98" s="9"/>
      <c r="S98" s="36">
        <v>10.3</v>
      </c>
      <c r="T98" s="6" t="s">
        <v>37</v>
      </c>
      <c r="U98" s="9"/>
      <c r="V98" s="6" t="s">
        <v>185</v>
      </c>
      <c r="W98" s="6" t="s">
        <v>183</v>
      </c>
      <c r="X98" s="6" t="s">
        <v>149</v>
      </c>
      <c r="Y98" s="5"/>
    </row>
    <row r="99" hidden="1">
      <c r="A99" s="24">
        <v>44121.0</v>
      </c>
      <c r="B99" s="4" t="s">
        <v>30</v>
      </c>
      <c r="C99" s="4">
        <v>1551.0</v>
      </c>
      <c r="D99" s="4" t="s">
        <v>186</v>
      </c>
      <c r="E99" s="5"/>
      <c r="F99" s="5"/>
      <c r="G99" s="4" t="s">
        <v>117</v>
      </c>
      <c r="H99" s="6">
        <v>1.0</v>
      </c>
      <c r="I99" s="6" t="s">
        <v>33</v>
      </c>
      <c r="J99" s="6">
        <v>9.0</v>
      </c>
      <c r="K99" s="6" t="s">
        <v>34</v>
      </c>
      <c r="L99" s="6">
        <v>7.0</v>
      </c>
      <c r="M99" s="5"/>
      <c r="N99" s="4" t="s">
        <v>35</v>
      </c>
      <c r="O99" s="4">
        <v>114.0</v>
      </c>
      <c r="P99" s="6" t="s">
        <v>45</v>
      </c>
      <c r="Q99" s="5"/>
      <c r="R99" s="9"/>
      <c r="S99" s="9"/>
      <c r="T99" s="9"/>
      <c r="U99" s="9"/>
      <c r="V99" s="6" t="s">
        <v>187</v>
      </c>
      <c r="W99" s="6" t="s">
        <v>185</v>
      </c>
      <c r="X99" s="6" t="s">
        <v>134</v>
      </c>
      <c r="Y99" s="5"/>
    </row>
    <row r="100" hidden="1">
      <c r="A100" s="15">
        <v>44094.0</v>
      </c>
      <c r="B100" s="4" t="s">
        <v>30</v>
      </c>
      <c r="C100" s="4">
        <v>1551.0</v>
      </c>
      <c r="D100" s="4" t="s">
        <v>188</v>
      </c>
      <c r="E100" s="5"/>
      <c r="F100" s="5"/>
      <c r="G100" s="4" t="s">
        <v>117</v>
      </c>
      <c r="H100" s="6">
        <v>1.0</v>
      </c>
      <c r="I100" s="6" t="s">
        <v>33</v>
      </c>
      <c r="J100" s="6">
        <v>18.0</v>
      </c>
      <c r="K100" s="6" t="s">
        <v>62</v>
      </c>
      <c r="L100" s="6">
        <v>14.0</v>
      </c>
      <c r="M100" s="5"/>
      <c r="N100" s="4" t="s">
        <v>44</v>
      </c>
      <c r="O100" s="4">
        <v>114.0</v>
      </c>
      <c r="P100" s="6" t="s">
        <v>45</v>
      </c>
      <c r="Q100" s="5"/>
      <c r="R100" s="9"/>
      <c r="S100" s="9"/>
      <c r="T100" s="9"/>
      <c r="U100" s="9"/>
      <c r="V100" s="6" t="s">
        <v>189</v>
      </c>
      <c r="W100" s="6" t="s">
        <v>187</v>
      </c>
      <c r="X100" s="6" t="s">
        <v>134</v>
      </c>
      <c r="Y100" s="5"/>
    </row>
    <row r="101" hidden="1">
      <c r="A101" s="15">
        <v>44065.0</v>
      </c>
      <c r="B101" s="4" t="s">
        <v>30</v>
      </c>
      <c r="C101" s="4">
        <v>1551.0</v>
      </c>
      <c r="D101" s="4" t="s">
        <v>190</v>
      </c>
      <c r="E101" s="5"/>
      <c r="F101" s="5"/>
      <c r="G101" s="4" t="s">
        <v>117</v>
      </c>
      <c r="H101" s="6">
        <v>1.0</v>
      </c>
      <c r="I101" s="6" t="s">
        <v>42</v>
      </c>
      <c r="J101" s="6">
        <v>9.0</v>
      </c>
      <c r="K101" s="6" t="s">
        <v>43</v>
      </c>
      <c r="L101" s="6">
        <v>7.0</v>
      </c>
      <c r="M101" s="5"/>
      <c r="N101" s="4" t="s">
        <v>35</v>
      </c>
      <c r="O101" s="4">
        <v>114.0</v>
      </c>
      <c r="P101" s="6">
        <v>23.0</v>
      </c>
      <c r="Q101" s="5"/>
      <c r="R101" s="9"/>
      <c r="S101" s="9"/>
      <c r="T101" s="9"/>
      <c r="U101" s="9"/>
      <c r="V101" s="6" t="s">
        <v>189</v>
      </c>
      <c r="W101" s="6" t="s">
        <v>189</v>
      </c>
      <c r="X101" s="6" t="s">
        <v>37</v>
      </c>
      <c r="Y101" s="5"/>
    </row>
    <row r="102" hidden="1">
      <c r="A102" s="15">
        <v>44058.0</v>
      </c>
      <c r="B102" s="4" t="s">
        <v>30</v>
      </c>
      <c r="C102" s="4">
        <v>1551.0</v>
      </c>
      <c r="D102" s="4" t="s">
        <v>191</v>
      </c>
      <c r="E102" s="5"/>
      <c r="F102" s="5"/>
      <c r="G102" s="4" t="s">
        <v>117</v>
      </c>
      <c r="H102" s="6">
        <v>1.0</v>
      </c>
      <c r="I102" s="6" t="s">
        <v>42</v>
      </c>
      <c r="J102" s="6">
        <v>9.0</v>
      </c>
      <c r="K102" s="6" t="s">
        <v>43</v>
      </c>
      <c r="L102" s="6">
        <v>7.0</v>
      </c>
      <c r="M102" s="5"/>
      <c r="N102" s="4" t="s">
        <v>35</v>
      </c>
      <c r="O102" s="4">
        <v>114.0</v>
      </c>
      <c r="P102" s="6">
        <v>20.0</v>
      </c>
      <c r="Q102" s="5"/>
      <c r="R102" s="9"/>
      <c r="S102" s="9"/>
      <c r="T102" s="9"/>
      <c r="U102" s="9"/>
      <c r="V102" s="6" t="s">
        <v>189</v>
      </c>
      <c r="W102" s="6" t="s">
        <v>189</v>
      </c>
      <c r="X102" s="6" t="s">
        <v>37</v>
      </c>
      <c r="Y102" s="5"/>
    </row>
    <row r="103" hidden="1">
      <c r="A103" s="15">
        <v>44030.0</v>
      </c>
      <c r="B103" s="4" t="s">
        <v>30</v>
      </c>
      <c r="C103" s="4">
        <v>1551.0</v>
      </c>
      <c r="D103" s="4" t="s">
        <v>192</v>
      </c>
      <c r="E103" s="5"/>
      <c r="F103" s="5"/>
      <c r="G103" s="4" t="s">
        <v>117</v>
      </c>
      <c r="H103" s="6">
        <v>1.0</v>
      </c>
      <c r="I103" s="6" t="s">
        <v>42</v>
      </c>
      <c r="J103" s="9"/>
      <c r="K103" s="6" t="s">
        <v>43</v>
      </c>
      <c r="L103" s="6">
        <v>14.0</v>
      </c>
      <c r="M103" s="5"/>
      <c r="N103" s="4" t="s">
        <v>44</v>
      </c>
      <c r="O103" s="4">
        <v>114.0</v>
      </c>
      <c r="P103" s="6">
        <v>43.0</v>
      </c>
      <c r="Q103" s="5"/>
      <c r="R103" s="9"/>
      <c r="S103" s="9"/>
      <c r="T103" s="9"/>
      <c r="U103" s="9"/>
      <c r="V103" s="6" t="s">
        <v>189</v>
      </c>
      <c r="W103" s="6" t="s">
        <v>189</v>
      </c>
      <c r="X103" s="6" t="s">
        <v>37</v>
      </c>
      <c r="Y103" s="5"/>
    </row>
    <row r="105">
      <c r="S105" s="37">
        <f>(S4+S25+S29+S53+S54+S71+S3+S2)/8</f>
        <v>9.7625</v>
      </c>
    </row>
  </sheetData>
  <autoFilter ref="$A$1:$Z$104">
    <filterColumn colId="8">
      <filters blank="1">
        <filter val="SPS"/>
      </filters>
    </filterColumn>
    <filterColumn colId="18">
      <filters>
        <filter val="15"/>
        <filter val="16"/>
        <filter val="17"/>
        <filter val="10.5"/>
        <filter val="10.3"/>
        <filter val="7.2"/>
        <filter val="17.4"/>
        <filter val="15.5"/>
        <filter val="12.7"/>
        <filter val="14.5"/>
        <filter val="10.8"/>
        <filter val="12.6"/>
        <filter val="13.5"/>
        <filter val="7.6"/>
        <filter val="16.1"/>
        <filter val="15.2"/>
        <filter val="12.5"/>
        <filter val="8.5"/>
      </filters>
    </filterColumn>
  </autoFilter>
  <hyperlinks>
    <hyperlink r:id="rId1" ref="A4"/>
    <hyperlink r:id="rId2" ref="A5"/>
    <hyperlink r:id="rId3" ref="A6"/>
    <hyperlink r:id="rId4" ref="A7"/>
    <hyperlink r:id="rId5" ref="A8"/>
    <hyperlink r:id="rId6" ref="A9"/>
    <hyperlink r:id="rId7" ref="A10"/>
    <hyperlink r:id="rId8" ref="A11"/>
    <hyperlink r:id="rId9" ref="A12"/>
    <hyperlink r:id="rId10" ref="A13"/>
    <hyperlink r:id="rId11" ref="A14"/>
    <hyperlink r:id="rId12" ref="A15"/>
    <hyperlink r:id="rId13" ref="A16"/>
    <hyperlink r:id="rId14" ref="A17"/>
    <hyperlink r:id="rId15" ref="A18"/>
    <hyperlink r:id="rId16" ref="A19"/>
    <hyperlink r:id="rId17" ref="A20"/>
    <hyperlink r:id="rId18" ref="A21"/>
    <hyperlink r:id="rId19" ref="A22"/>
    <hyperlink r:id="rId20" ref="A23"/>
    <hyperlink r:id="rId21" ref="A24"/>
    <hyperlink r:id="rId22" ref="A25"/>
    <hyperlink r:id="rId23" ref="A26"/>
    <hyperlink r:id="rId24" ref="A27"/>
    <hyperlink r:id="rId25" ref="A28"/>
    <hyperlink r:id="rId26" ref="A29"/>
    <hyperlink r:id="rId27" ref="A30"/>
    <hyperlink r:id="rId28" ref="A31"/>
    <hyperlink r:id="rId29" ref="A32"/>
    <hyperlink r:id="rId30" ref="A33"/>
    <hyperlink r:id="rId31" ref="A34"/>
    <hyperlink r:id="rId32" ref="A35"/>
    <hyperlink r:id="rId33" ref="A36"/>
    <hyperlink r:id="rId34" ref="A37"/>
    <hyperlink r:id="rId35" ref="A38"/>
    <hyperlink r:id="rId36" ref="A39"/>
    <hyperlink r:id="rId37" ref="A40"/>
    <hyperlink r:id="rId38" ref="A41"/>
    <hyperlink r:id="rId39" ref="A42"/>
    <hyperlink r:id="rId40" ref="A43"/>
    <hyperlink r:id="rId41" ref="A44"/>
    <hyperlink r:id="rId42" ref="A45"/>
    <hyperlink r:id="rId43" ref="A46"/>
    <hyperlink r:id="rId44" ref="A47"/>
    <hyperlink r:id="rId45" ref="A48"/>
    <hyperlink r:id="rId46" ref="A49"/>
    <hyperlink r:id="rId47" ref="A50"/>
    <hyperlink r:id="rId48" ref="A51"/>
    <hyperlink r:id="rId49" ref="A52"/>
    <hyperlink r:id="rId50" ref="A53"/>
    <hyperlink r:id="rId51" ref="A54"/>
    <hyperlink r:id="rId52" ref="A55"/>
    <hyperlink r:id="rId53" ref="A56"/>
    <hyperlink r:id="rId54" ref="A57"/>
    <hyperlink r:id="rId55" ref="A58"/>
    <hyperlink r:id="rId56" ref="A59"/>
    <hyperlink r:id="rId57" ref="A60"/>
    <hyperlink r:id="rId58" ref="A61"/>
    <hyperlink r:id="rId59" ref="A62"/>
    <hyperlink r:id="rId60" ref="A63"/>
    <hyperlink r:id="rId61" ref="A64"/>
    <hyperlink r:id="rId62" ref="A65"/>
    <hyperlink r:id="rId63" ref="A66"/>
    <hyperlink r:id="rId64" ref="A67"/>
    <hyperlink r:id="rId65" ref="A68"/>
    <hyperlink r:id="rId66" ref="A69"/>
    <hyperlink r:id="rId67" ref="A70"/>
    <hyperlink r:id="rId68" ref="A71"/>
    <hyperlink r:id="rId69" ref="A72"/>
    <hyperlink r:id="rId70" ref="A73"/>
    <hyperlink r:id="rId71" ref="A74"/>
    <hyperlink r:id="rId72" ref="A75"/>
    <hyperlink r:id="rId73" ref="A76"/>
    <hyperlink r:id="rId74" ref="A77"/>
    <hyperlink r:id="rId75" ref="A78"/>
    <hyperlink r:id="rId76" ref="A79"/>
    <hyperlink r:id="rId77" ref="A80"/>
    <hyperlink r:id="rId78" ref="A81"/>
    <hyperlink r:id="rId79" ref="A82"/>
    <hyperlink r:id="rId80" ref="A83"/>
    <hyperlink r:id="rId81" ref="A84"/>
    <hyperlink r:id="rId82" ref="A85"/>
    <hyperlink r:id="rId83" ref="A86"/>
    <hyperlink r:id="rId84" ref="A87"/>
    <hyperlink r:id="rId85" ref="A88"/>
    <hyperlink r:id="rId86" ref="A89"/>
    <hyperlink r:id="rId87" ref="A90"/>
    <hyperlink r:id="rId88" ref="A91"/>
    <hyperlink r:id="rId89" ref="A92"/>
    <hyperlink r:id="rId90" ref="A93"/>
    <hyperlink r:id="rId91" ref="A94"/>
    <hyperlink r:id="rId92" ref="A95"/>
    <hyperlink r:id="rId93" ref="A96"/>
    <hyperlink r:id="rId94" ref="A97"/>
    <hyperlink r:id="rId95" ref="A98"/>
    <hyperlink r:id="rId96" ref="A99"/>
    <hyperlink r:id="rId97" ref="A100"/>
    <hyperlink r:id="rId98" ref="A101"/>
    <hyperlink r:id="rId99" ref="A102"/>
    <hyperlink r:id="rId100" ref="A103"/>
  </hyperlinks>
  <drawing r:id="rId10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8.5"/>
    <col hidden="1" min="3" max="4" width="12.63"/>
    <col customWidth="1" min="5" max="5" width="22.75"/>
    <col hidden="1" min="6" max="7" width="12.63"/>
    <col customWidth="1" min="8" max="8" width="15.5"/>
    <col hidden="1" min="9" max="9" width="12.63"/>
    <col customWidth="1" min="11" max="11" width="8.13"/>
    <col customWidth="1" min="12" max="12" width="7.88"/>
    <col customWidth="1" min="13" max="13" width="8.63"/>
    <col customWidth="1" min="14" max="14" width="5.88"/>
    <col customWidth="1" min="15" max="16" width="5.63"/>
    <col customWidth="1" min="17" max="17" width="6.38"/>
    <col customWidth="1" min="18" max="18" width="6.75"/>
    <col hidden="1" min="19" max="19" width="12.63"/>
    <col customWidth="1" min="20" max="20" width="8.75"/>
    <col customWidth="1" min="21" max="21" width="7.38"/>
  </cols>
  <sheetData>
    <row r="1">
      <c r="A1" s="1"/>
      <c r="B1" s="1">
        <f>SUBTOTAL(3,B3:B95)</f>
        <v>20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11">
        <f>SUBTOTAL(1,T3:T95)</f>
        <v>12.445</v>
      </c>
      <c r="U1" s="1">
        <f>SUBTOTAL(3,U3:U95)</f>
        <v>8</v>
      </c>
    </row>
    <row r="2">
      <c r="A2" s="12"/>
      <c r="B2" s="12" t="s">
        <v>0</v>
      </c>
      <c r="C2" s="12" t="s">
        <v>25</v>
      </c>
      <c r="D2" s="12" t="s">
        <v>2</v>
      </c>
      <c r="E2" s="12" t="s">
        <v>3</v>
      </c>
      <c r="F2" s="12" t="s">
        <v>26</v>
      </c>
      <c r="G2" s="12" t="s">
        <v>5</v>
      </c>
      <c r="H2" s="12" t="s">
        <v>6</v>
      </c>
      <c r="I2" s="12" t="s">
        <v>7</v>
      </c>
      <c r="J2" s="12" t="s">
        <v>8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13</v>
      </c>
      <c r="P2" s="12" t="s">
        <v>14</v>
      </c>
      <c r="Q2" s="12" t="s">
        <v>15</v>
      </c>
      <c r="R2" s="12" t="s">
        <v>16</v>
      </c>
      <c r="S2" s="12" t="s">
        <v>17</v>
      </c>
      <c r="T2" s="12" t="s">
        <v>18</v>
      </c>
      <c r="U2" s="12" t="s">
        <v>19</v>
      </c>
    </row>
    <row r="3">
      <c r="A3" s="13">
        <v>1.0</v>
      </c>
      <c r="B3" s="14">
        <v>46229.0</v>
      </c>
      <c r="C3" s="16" t="s">
        <v>27</v>
      </c>
      <c r="D3" s="16">
        <v>1551.0</v>
      </c>
      <c r="E3" s="16" t="s">
        <v>28</v>
      </c>
      <c r="F3" s="16" t="s">
        <v>29</v>
      </c>
      <c r="G3" s="17"/>
      <c r="H3" s="16" t="s">
        <v>31</v>
      </c>
      <c r="I3" s="18">
        <v>1.0</v>
      </c>
      <c r="J3" s="18" t="s">
        <v>33</v>
      </c>
      <c r="K3" s="18">
        <v>9.0</v>
      </c>
      <c r="L3" s="18" t="s">
        <v>34</v>
      </c>
      <c r="M3" s="18">
        <v>5.0</v>
      </c>
      <c r="N3" s="16">
        <v>32.0</v>
      </c>
      <c r="O3" s="16" t="s">
        <v>35</v>
      </c>
      <c r="P3" s="16">
        <v>114.0</v>
      </c>
      <c r="Q3" s="19">
        <v>21.0</v>
      </c>
      <c r="R3" s="16">
        <v>34.0</v>
      </c>
      <c r="S3" s="20"/>
      <c r="T3" s="21">
        <v>8.6</v>
      </c>
      <c r="U3" s="22" t="s">
        <v>36</v>
      </c>
    </row>
    <row r="4" hidden="1">
      <c r="A4" s="23"/>
      <c r="B4" s="14">
        <v>46221.0</v>
      </c>
      <c r="C4" s="16" t="s">
        <v>27</v>
      </c>
      <c r="D4" s="16">
        <v>1551.0</v>
      </c>
      <c r="E4" s="16" t="s">
        <v>41</v>
      </c>
      <c r="F4" s="16" t="s">
        <v>29</v>
      </c>
      <c r="G4" s="17"/>
      <c r="H4" s="16" t="s">
        <v>31</v>
      </c>
      <c r="I4" s="18">
        <v>1.0</v>
      </c>
      <c r="J4" s="18" t="s">
        <v>42</v>
      </c>
      <c r="K4" s="18">
        <v>18.0</v>
      </c>
      <c r="L4" s="18" t="s">
        <v>43</v>
      </c>
      <c r="M4" s="18">
        <v>9.0</v>
      </c>
      <c r="N4" s="16">
        <v>64.0</v>
      </c>
      <c r="O4" s="16" t="s">
        <v>44</v>
      </c>
      <c r="P4" s="16">
        <v>114.0</v>
      </c>
      <c r="Q4" s="18" t="s">
        <v>45</v>
      </c>
      <c r="R4" s="16">
        <v>0.0</v>
      </c>
      <c r="S4" s="20"/>
      <c r="T4" s="25"/>
      <c r="U4" s="20"/>
    </row>
    <row r="5" hidden="1">
      <c r="A5" s="23"/>
      <c r="B5" s="14">
        <v>46186.0</v>
      </c>
      <c r="C5" s="16" t="s">
        <v>27</v>
      </c>
      <c r="D5" s="16">
        <v>1551.0</v>
      </c>
      <c r="E5" s="16" t="s">
        <v>47</v>
      </c>
      <c r="F5" s="16" t="s">
        <v>29</v>
      </c>
      <c r="G5" s="17"/>
      <c r="H5" s="16" t="s">
        <v>31</v>
      </c>
      <c r="I5" s="18">
        <v>1.0</v>
      </c>
      <c r="J5" s="18" t="s">
        <v>42</v>
      </c>
      <c r="K5" s="18">
        <v>18.0</v>
      </c>
      <c r="L5" s="18" t="s">
        <v>43</v>
      </c>
      <c r="M5" s="18">
        <v>9.0</v>
      </c>
      <c r="N5" s="16">
        <v>64.0</v>
      </c>
      <c r="O5" s="16" t="s">
        <v>44</v>
      </c>
      <c r="P5" s="16">
        <v>114.0</v>
      </c>
      <c r="Q5" s="18">
        <v>37.0</v>
      </c>
      <c r="R5" s="16">
        <v>0.0</v>
      </c>
      <c r="S5" s="20"/>
      <c r="T5" s="25"/>
      <c r="U5" s="20"/>
    </row>
    <row r="6" hidden="1">
      <c r="A6" s="23"/>
      <c r="B6" s="14">
        <v>46177.0</v>
      </c>
      <c r="C6" s="16" t="s">
        <v>27</v>
      </c>
      <c r="D6" s="16">
        <v>1551.0</v>
      </c>
      <c r="E6" s="16" t="s">
        <v>49</v>
      </c>
      <c r="F6" s="16" t="s">
        <v>29</v>
      </c>
      <c r="G6" s="17"/>
      <c r="H6" s="16" t="s">
        <v>50</v>
      </c>
      <c r="I6" s="18">
        <v>1.0</v>
      </c>
      <c r="J6" s="18" t="s">
        <v>33</v>
      </c>
      <c r="K6" s="18">
        <v>9.0</v>
      </c>
      <c r="L6" s="18" t="s">
        <v>43</v>
      </c>
      <c r="M6" s="18">
        <v>6.0</v>
      </c>
      <c r="N6" s="16">
        <v>36.0</v>
      </c>
      <c r="O6" s="16" t="s">
        <v>51</v>
      </c>
      <c r="P6" s="16">
        <v>135.0</v>
      </c>
      <c r="Q6" s="18" t="s">
        <v>45</v>
      </c>
      <c r="R6" s="16">
        <v>0.0</v>
      </c>
      <c r="S6" s="20"/>
      <c r="T6" s="25"/>
      <c r="U6" s="20"/>
    </row>
    <row r="7" hidden="1">
      <c r="A7" s="23"/>
      <c r="B7" s="14">
        <v>46168.0</v>
      </c>
      <c r="C7" s="16" t="s">
        <v>27</v>
      </c>
      <c r="D7" s="16">
        <v>1551.0</v>
      </c>
      <c r="E7" s="16" t="s">
        <v>53</v>
      </c>
      <c r="F7" s="16" t="s">
        <v>29</v>
      </c>
      <c r="G7" s="17"/>
      <c r="H7" s="16" t="s">
        <v>54</v>
      </c>
      <c r="I7" s="18">
        <v>1.0</v>
      </c>
      <c r="J7" s="18" t="s">
        <v>33</v>
      </c>
      <c r="K7" s="18">
        <v>18.0</v>
      </c>
      <c r="L7" s="18" t="s">
        <v>43</v>
      </c>
      <c r="M7" s="18">
        <v>12.0</v>
      </c>
      <c r="N7" s="16">
        <v>72.0</v>
      </c>
      <c r="O7" s="16" t="s">
        <v>55</v>
      </c>
      <c r="P7" s="16">
        <v>133.0</v>
      </c>
      <c r="Q7" s="18" t="s">
        <v>45</v>
      </c>
      <c r="R7" s="16">
        <v>0.0</v>
      </c>
      <c r="S7" s="20"/>
      <c r="T7" s="25"/>
      <c r="U7" s="20"/>
    </row>
    <row r="8" hidden="1">
      <c r="A8" s="23"/>
      <c r="B8" s="14">
        <v>46144.0</v>
      </c>
      <c r="C8" s="16" t="s">
        <v>27</v>
      </c>
      <c r="D8" s="16">
        <v>1551.0</v>
      </c>
      <c r="E8" s="16" t="s">
        <v>56</v>
      </c>
      <c r="F8" s="16" t="s">
        <v>29</v>
      </c>
      <c r="G8" s="17"/>
      <c r="H8" s="16" t="s">
        <v>31</v>
      </c>
      <c r="I8" s="18">
        <v>1.0</v>
      </c>
      <c r="J8" s="18" t="s">
        <v>42</v>
      </c>
      <c r="K8" s="18">
        <v>18.0</v>
      </c>
      <c r="L8" s="18" t="s">
        <v>43</v>
      </c>
      <c r="M8" s="18">
        <v>9.0</v>
      </c>
      <c r="N8" s="16">
        <v>64.0</v>
      </c>
      <c r="O8" s="16" t="s">
        <v>44</v>
      </c>
      <c r="P8" s="16">
        <v>114.0</v>
      </c>
      <c r="Q8" s="18">
        <v>44.0</v>
      </c>
      <c r="R8" s="16">
        <v>0.0</v>
      </c>
      <c r="S8" s="20"/>
      <c r="T8" s="25"/>
      <c r="U8" s="20"/>
    </row>
    <row r="9" hidden="1">
      <c r="A9" s="23"/>
      <c r="B9" s="14">
        <v>46118.0</v>
      </c>
      <c r="C9" s="16" t="s">
        <v>27</v>
      </c>
      <c r="D9" s="16">
        <v>1551.0</v>
      </c>
      <c r="E9" s="16" t="s">
        <v>58</v>
      </c>
      <c r="F9" s="16" t="s">
        <v>29</v>
      </c>
      <c r="G9" s="17"/>
      <c r="H9" s="16" t="s">
        <v>31</v>
      </c>
      <c r="I9" s="18">
        <v>1.0</v>
      </c>
      <c r="J9" s="18" t="s">
        <v>33</v>
      </c>
      <c r="K9" s="18">
        <v>9.0</v>
      </c>
      <c r="L9" s="18" t="s">
        <v>43</v>
      </c>
      <c r="M9" s="18">
        <v>5.0</v>
      </c>
      <c r="N9" s="16">
        <v>32.0</v>
      </c>
      <c r="O9" s="16" t="s">
        <v>35</v>
      </c>
      <c r="P9" s="16">
        <v>114.0</v>
      </c>
      <c r="Q9" s="18" t="s">
        <v>59</v>
      </c>
      <c r="R9" s="16">
        <v>0.0</v>
      </c>
      <c r="S9" s="20"/>
      <c r="T9" s="25"/>
      <c r="U9" s="20"/>
    </row>
    <row r="10">
      <c r="A10" s="13">
        <v>2.0</v>
      </c>
      <c r="B10" s="14">
        <v>46103.0</v>
      </c>
      <c r="C10" s="16" t="s">
        <v>27</v>
      </c>
      <c r="D10" s="16">
        <v>1551.0</v>
      </c>
      <c r="E10" s="16" t="s">
        <v>28</v>
      </c>
      <c r="F10" s="16" t="s">
        <v>29</v>
      </c>
      <c r="G10" s="17"/>
      <c r="H10" s="16" t="s">
        <v>31</v>
      </c>
      <c r="I10" s="18">
        <v>1.0</v>
      </c>
      <c r="J10" s="18" t="s">
        <v>33</v>
      </c>
      <c r="K10" s="18">
        <v>9.0</v>
      </c>
      <c r="L10" s="18" t="s">
        <v>34</v>
      </c>
      <c r="M10" s="18">
        <v>5.0</v>
      </c>
      <c r="N10" s="16">
        <v>32.0</v>
      </c>
      <c r="O10" s="16" t="s">
        <v>35</v>
      </c>
      <c r="P10" s="16">
        <v>114.0</v>
      </c>
      <c r="Q10" s="19">
        <v>18.0</v>
      </c>
      <c r="R10" s="16">
        <v>37.0</v>
      </c>
      <c r="S10" s="18">
        <v>0.0</v>
      </c>
      <c r="T10" s="26">
        <v>11.7</v>
      </c>
      <c r="U10" s="22" t="s">
        <v>36</v>
      </c>
    </row>
    <row r="11">
      <c r="A11" s="13">
        <v>3.0</v>
      </c>
      <c r="B11" s="14">
        <v>46096.0</v>
      </c>
      <c r="C11" s="16" t="s">
        <v>27</v>
      </c>
      <c r="D11" s="16">
        <v>1551.0</v>
      </c>
      <c r="E11" s="16" t="s">
        <v>61</v>
      </c>
      <c r="F11" s="16" t="s">
        <v>29</v>
      </c>
      <c r="G11" s="17"/>
      <c r="H11" s="16" t="s">
        <v>31</v>
      </c>
      <c r="I11" s="18">
        <v>1.0</v>
      </c>
      <c r="J11" s="18" t="s">
        <v>33</v>
      </c>
      <c r="K11" s="18">
        <v>18.0</v>
      </c>
      <c r="L11" s="18" t="s">
        <v>62</v>
      </c>
      <c r="M11" s="18">
        <v>9.0</v>
      </c>
      <c r="N11" s="16">
        <v>64.0</v>
      </c>
      <c r="O11" s="16" t="s">
        <v>44</v>
      </c>
      <c r="P11" s="16">
        <v>114.0</v>
      </c>
      <c r="Q11" s="19">
        <v>35.0</v>
      </c>
      <c r="R11" s="16">
        <v>74.0</v>
      </c>
      <c r="S11" s="18">
        <v>0.0</v>
      </c>
      <c r="T11" s="26">
        <v>10.5</v>
      </c>
      <c r="U11" s="22" t="s">
        <v>36</v>
      </c>
    </row>
    <row r="12">
      <c r="A12" s="13">
        <v>4.0</v>
      </c>
      <c r="B12" s="14">
        <v>46026.0</v>
      </c>
      <c r="C12" s="16" t="s">
        <v>27</v>
      </c>
      <c r="D12" s="16">
        <v>1551.0</v>
      </c>
      <c r="E12" s="16" t="s">
        <v>32</v>
      </c>
      <c r="F12" s="16" t="s">
        <v>29</v>
      </c>
      <c r="G12" s="17"/>
      <c r="H12" s="16" t="s">
        <v>31</v>
      </c>
      <c r="I12" s="18">
        <v>1.0</v>
      </c>
      <c r="J12" s="18" t="s">
        <v>33</v>
      </c>
      <c r="K12" s="18">
        <v>9.0</v>
      </c>
      <c r="L12" s="18" t="s">
        <v>34</v>
      </c>
      <c r="M12" s="18">
        <v>5.0</v>
      </c>
      <c r="N12" s="16">
        <v>32.0</v>
      </c>
      <c r="O12" s="16" t="s">
        <v>35</v>
      </c>
      <c r="P12" s="16">
        <v>114.0</v>
      </c>
      <c r="Q12" s="19">
        <v>19.0</v>
      </c>
      <c r="R12" s="16">
        <v>36.0</v>
      </c>
      <c r="S12" s="18">
        <v>0.0</v>
      </c>
      <c r="T12" s="27">
        <v>10.8</v>
      </c>
      <c r="U12" s="22" t="s">
        <v>36</v>
      </c>
    </row>
    <row r="13" hidden="1">
      <c r="A13" s="28"/>
      <c r="B13" s="29">
        <v>46022.0</v>
      </c>
      <c r="C13" s="16" t="s">
        <v>27</v>
      </c>
      <c r="D13" s="16">
        <v>1551.0</v>
      </c>
      <c r="E13" s="16" t="s">
        <v>46</v>
      </c>
      <c r="F13" s="16" t="s">
        <v>29</v>
      </c>
      <c r="G13" s="17"/>
      <c r="H13" s="16" t="s">
        <v>31</v>
      </c>
      <c r="I13" s="18">
        <v>1.0</v>
      </c>
      <c r="J13" s="18" t="s">
        <v>42</v>
      </c>
      <c r="K13" s="18">
        <v>9.0</v>
      </c>
      <c r="L13" s="18" t="s">
        <v>43</v>
      </c>
      <c r="M13" s="18">
        <v>5.0</v>
      </c>
      <c r="N13" s="16">
        <v>32.0</v>
      </c>
      <c r="O13" s="16" t="s">
        <v>35</v>
      </c>
      <c r="P13" s="16">
        <v>114.0</v>
      </c>
      <c r="Q13" s="18">
        <v>19.0</v>
      </c>
      <c r="R13" s="16">
        <v>0.0</v>
      </c>
      <c r="S13" s="20"/>
      <c r="T13" s="20"/>
      <c r="U13" s="20"/>
    </row>
    <row r="14" hidden="1">
      <c r="A14" s="28"/>
      <c r="B14" s="29">
        <v>46019.0</v>
      </c>
      <c r="C14" s="16" t="s">
        <v>27</v>
      </c>
      <c r="D14" s="16">
        <v>1551.0</v>
      </c>
      <c r="E14" s="16" t="s">
        <v>48</v>
      </c>
      <c r="F14" s="16" t="s">
        <v>29</v>
      </c>
      <c r="G14" s="17"/>
      <c r="H14" s="16" t="s">
        <v>31</v>
      </c>
      <c r="I14" s="18">
        <v>1.0</v>
      </c>
      <c r="J14" s="18" t="s">
        <v>33</v>
      </c>
      <c r="K14" s="18">
        <v>9.0</v>
      </c>
      <c r="L14" s="18" t="s">
        <v>43</v>
      </c>
      <c r="M14" s="18">
        <v>5.0</v>
      </c>
      <c r="N14" s="16">
        <v>32.0</v>
      </c>
      <c r="O14" s="16" t="s">
        <v>35</v>
      </c>
      <c r="P14" s="16">
        <v>114.0</v>
      </c>
      <c r="Q14" s="18" t="s">
        <v>45</v>
      </c>
      <c r="R14" s="16">
        <v>0.0</v>
      </c>
      <c r="S14" s="20"/>
      <c r="T14" s="20"/>
      <c r="U14" s="20"/>
    </row>
    <row r="15" hidden="1">
      <c r="A15" s="23"/>
      <c r="B15" s="14">
        <v>45998.0</v>
      </c>
      <c r="C15" s="16" t="s">
        <v>27</v>
      </c>
      <c r="D15" s="16">
        <v>1551.0</v>
      </c>
      <c r="E15" s="16" t="s">
        <v>52</v>
      </c>
      <c r="F15" s="16" t="s">
        <v>29</v>
      </c>
      <c r="G15" s="17"/>
      <c r="H15" s="16" t="s">
        <v>31</v>
      </c>
      <c r="I15" s="18">
        <v>1.0</v>
      </c>
      <c r="J15" s="18" t="s">
        <v>33</v>
      </c>
      <c r="K15" s="18">
        <v>9.0</v>
      </c>
      <c r="L15" s="18" t="s">
        <v>43</v>
      </c>
      <c r="M15" s="18">
        <v>5.0</v>
      </c>
      <c r="N15" s="16">
        <v>32.0</v>
      </c>
      <c r="O15" s="16" t="s">
        <v>35</v>
      </c>
      <c r="P15" s="16">
        <v>114.0</v>
      </c>
      <c r="Q15" s="18" t="s">
        <v>45</v>
      </c>
      <c r="R15" s="16">
        <v>0.0</v>
      </c>
      <c r="S15" s="20"/>
      <c r="T15" s="20"/>
      <c r="U15" s="20"/>
    </row>
    <row r="16">
      <c r="A16" s="13">
        <v>5.0</v>
      </c>
      <c r="B16" s="29">
        <v>45991.0</v>
      </c>
      <c r="C16" s="16" t="s">
        <v>27</v>
      </c>
      <c r="D16" s="16">
        <v>1551.0</v>
      </c>
      <c r="E16" s="16" t="s">
        <v>57</v>
      </c>
      <c r="F16" s="16" t="s">
        <v>29</v>
      </c>
      <c r="G16" s="17"/>
      <c r="H16" s="16" t="s">
        <v>31</v>
      </c>
      <c r="I16" s="18">
        <v>1.0</v>
      </c>
      <c r="J16" s="18" t="s">
        <v>33</v>
      </c>
      <c r="K16" s="18">
        <v>9.0</v>
      </c>
      <c r="L16" s="18" t="s">
        <v>34</v>
      </c>
      <c r="M16" s="18">
        <v>5.0</v>
      </c>
      <c r="N16" s="16">
        <v>32.0</v>
      </c>
      <c r="O16" s="16" t="s">
        <v>35</v>
      </c>
      <c r="P16" s="16">
        <v>114.0</v>
      </c>
      <c r="Q16" s="18">
        <v>17.0</v>
      </c>
      <c r="R16" s="16">
        <v>38.0</v>
      </c>
      <c r="S16" s="18">
        <v>0.0</v>
      </c>
      <c r="T16" s="18">
        <v>12.7</v>
      </c>
      <c r="U16" s="20"/>
    </row>
    <row r="17" hidden="1">
      <c r="A17" s="28"/>
      <c r="B17" s="29">
        <v>45955.0</v>
      </c>
      <c r="C17" s="16" t="s">
        <v>27</v>
      </c>
      <c r="D17" s="16">
        <v>1551.0</v>
      </c>
      <c r="E17" s="16" t="s">
        <v>60</v>
      </c>
      <c r="F17" s="16" t="s">
        <v>29</v>
      </c>
      <c r="G17" s="17"/>
      <c r="H17" s="16" t="s">
        <v>31</v>
      </c>
      <c r="I17" s="18">
        <v>1.0</v>
      </c>
      <c r="J17" s="18" t="s">
        <v>42</v>
      </c>
      <c r="K17" s="18">
        <v>18.0</v>
      </c>
      <c r="L17" s="18" t="s">
        <v>43</v>
      </c>
      <c r="M17" s="18">
        <v>10.0</v>
      </c>
      <c r="N17" s="16">
        <v>64.0</v>
      </c>
      <c r="O17" s="16" t="s">
        <v>44</v>
      </c>
      <c r="P17" s="16">
        <v>114.0</v>
      </c>
      <c r="Q17" s="18">
        <v>41.0</v>
      </c>
      <c r="R17" s="16">
        <v>0.0</v>
      </c>
      <c r="S17" s="20"/>
      <c r="T17" s="20"/>
      <c r="U17" s="20"/>
    </row>
    <row r="18" hidden="1">
      <c r="A18" s="23"/>
      <c r="B18" s="14">
        <v>45916.0</v>
      </c>
      <c r="C18" s="16" t="s">
        <v>27</v>
      </c>
      <c r="D18" s="16">
        <v>1551.0</v>
      </c>
      <c r="E18" s="16" t="s">
        <v>63</v>
      </c>
      <c r="F18" s="16" t="s">
        <v>29</v>
      </c>
      <c r="G18" s="17"/>
      <c r="H18" s="16" t="s">
        <v>64</v>
      </c>
      <c r="I18" s="18">
        <v>1.0</v>
      </c>
      <c r="J18" s="18" t="s">
        <v>33</v>
      </c>
      <c r="K18" s="18">
        <v>18.0</v>
      </c>
      <c r="L18" s="18" t="s">
        <v>43</v>
      </c>
      <c r="M18" s="18">
        <v>11.0</v>
      </c>
      <c r="N18" s="16">
        <v>72.0</v>
      </c>
      <c r="O18" s="16" t="s">
        <v>65</v>
      </c>
      <c r="P18" s="16">
        <v>130.0</v>
      </c>
      <c r="Q18" s="18" t="s">
        <v>66</v>
      </c>
      <c r="R18" s="16">
        <v>0.0</v>
      </c>
      <c r="S18" s="20"/>
      <c r="T18" s="20"/>
      <c r="U18" s="20"/>
    </row>
    <row r="19" hidden="1">
      <c r="A19" s="23"/>
      <c r="B19" s="14">
        <v>45913.0</v>
      </c>
      <c r="C19" s="16" t="s">
        <v>27</v>
      </c>
      <c r="D19" s="16">
        <v>1551.0</v>
      </c>
      <c r="E19" s="16" t="s">
        <v>67</v>
      </c>
      <c r="F19" s="16" t="s">
        <v>29</v>
      </c>
      <c r="G19" s="17"/>
      <c r="H19" s="16" t="s">
        <v>31</v>
      </c>
      <c r="I19" s="18">
        <v>1.0</v>
      </c>
      <c r="J19" s="18" t="s">
        <v>42</v>
      </c>
      <c r="K19" s="18">
        <v>18.0</v>
      </c>
      <c r="L19" s="18" t="s">
        <v>43</v>
      </c>
      <c r="M19" s="18">
        <v>10.0</v>
      </c>
      <c r="N19" s="16">
        <v>64.0</v>
      </c>
      <c r="O19" s="16" t="s">
        <v>44</v>
      </c>
      <c r="P19" s="16">
        <v>114.0</v>
      </c>
      <c r="Q19" s="18">
        <v>35.0</v>
      </c>
      <c r="R19" s="16">
        <v>0.0</v>
      </c>
      <c r="S19" s="20"/>
      <c r="T19" s="20"/>
      <c r="U19" s="20"/>
    </row>
    <row r="20" hidden="1">
      <c r="A20" s="23"/>
      <c r="B20" s="14">
        <v>45836.0</v>
      </c>
      <c r="C20" s="16" t="s">
        <v>27</v>
      </c>
      <c r="D20" s="16">
        <v>1551.0</v>
      </c>
      <c r="E20" s="16" t="s">
        <v>68</v>
      </c>
      <c r="F20" s="16" t="s">
        <v>29</v>
      </c>
      <c r="G20" s="17"/>
      <c r="H20" s="16" t="s">
        <v>31</v>
      </c>
      <c r="I20" s="18">
        <v>1.0</v>
      </c>
      <c r="J20" s="18" t="s">
        <v>42</v>
      </c>
      <c r="K20" s="18">
        <v>18.0</v>
      </c>
      <c r="L20" s="18" t="s">
        <v>43</v>
      </c>
      <c r="M20" s="18">
        <v>10.0</v>
      </c>
      <c r="N20" s="16">
        <v>64.0</v>
      </c>
      <c r="O20" s="16" t="s">
        <v>44</v>
      </c>
      <c r="P20" s="16">
        <v>114.0</v>
      </c>
      <c r="Q20" s="18">
        <v>33.0</v>
      </c>
      <c r="R20" s="16">
        <v>0.0</v>
      </c>
      <c r="S20" s="20"/>
      <c r="T20" s="20"/>
      <c r="U20" s="20"/>
    </row>
    <row r="21" hidden="1">
      <c r="A21" s="23"/>
      <c r="B21" s="14">
        <v>45822.0</v>
      </c>
      <c r="C21" s="16" t="s">
        <v>27</v>
      </c>
      <c r="D21" s="16">
        <v>1551.0</v>
      </c>
      <c r="E21" s="16" t="s">
        <v>69</v>
      </c>
      <c r="F21" s="16" t="s">
        <v>29</v>
      </c>
      <c r="G21" s="17"/>
      <c r="H21" s="16" t="s">
        <v>31</v>
      </c>
      <c r="I21" s="18">
        <v>1.0</v>
      </c>
      <c r="J21" s="18" t="s">
        <v>70</v>
      </c>
      <c r="K21" s="18">
        <v>18.0</v>
      </c>
      <c r="L21" s="18" t="s">
        <v>43</v>
      </c>
      <c r="M21" s="18">
        <v>10.0</v>
      </c>
      <c r="N21" s="16">
        <v>64.0</v>
      </c>
      <c r="O21" s="16" t="s">
        <v>44</v>
      </c>
      <c r="P21" s="16">
        <v>114.0</v>
      </c>
      <c r="Q21" s="18">
        <v>52.0</v>
      </c>
      <c r="R21" s="16">
        <v>0.0</v>
      </c>
      <c r="S21" s="20"/>
      <c r="T21" s="20"/>
      <c r="U21" s="20"/>
    </row>
    <row r="22" hidden="1">
      <c r="A22" s="23"/>
      <c r="B22" s="14">
        <v>45794.0</v>
      </c>
      <c r="C22" s="16" t="s">
        <v>82</v>
      </c>
      <c r="D22" s="16">
        <v>1551.0</v>
      </c>
      <c r="E22" s="16" t="s">
        <v>71</v>
      </c>
      <c r="F22" s="16" t="s">
        <v>29</v>
      </c>
      <c r="G22" s="17"/>
      <c r="H22" s="16" t="s">
        <v>31</v>
      </c>
      <c r="I22" s="18">
        <v>1.0</v>
      </c>
      <c r="J22" s="18" t="s">
        <v>42</v>
      </c>
      <c r="K22" s="18">
        <v>18.0</v>
      </c>
      <c r="L22" s="18" t="s">
        <v>43</v>
      </c>
      <c r="M22" s="18">
        <v>10.0</v>
      </c>
      <c r="N22" s="16">
        <v>64.0</v>
      </c>
      <c r="O22" s="16" t="s">
        <v>44</v>
      </c>
      <c r="P22" s="16">
        <v>114.0</v>
      </c>
      <c r="Q22" s="18">
        <v>34.0</v>
      </c>
      <c r="R22" s="16">
        <v>0.0</v>
      </c>
      <c r="S22" s="20"/>
      <c r="T22" s="20"/>
      <c r="U22" s="20"/>
    </row>
    <row r="23" hidden="1">
      <c r="A23" s="23"/>
      <c r="B23" s="14">
        <v>45788.0</v>
      </c>
      <c r="C23" s="16" t="s">
        <v>82</v>
      </c>
      <c r="D23" s="16">
        <v>1551.0</v>
      </c>
      <c r="E23" s="16" t="s">
        <v>72</v>
      </c>
      <c r="F23" s="16" t="s">
        <v>29</v>
      </c>
      <c r="G23" s="17"/>
      <c r="H23" s="16" t="s">
        <v>31</v>
      </c>
      <c r="I23" s="18">
        <v>1.0</v>
      </c>
      <c r="J23" s="18" t="s">
        <v>33</v>
      </c>
      <c r="K23" s="18">
        <v>9.0</v>
      </c>
      <c r="L23" s="18" t="s">
        <v>43</v>
      </c>
      <c r="M23" s="18">
        <v>5.0</v>
      </c>
      <c r="N23" s="16">
        <v>32.0</v>
      </c>
      <c r="O23" s="16" t="s">
        <v>35</v>
      </c>
      <c r="P23" s="16">
        <v>114.0</v>
      </c>
      <c r="Q23" s="18" t="s">
        <v>45</v>
      </c>
      <c r="R23" s="16">
        <v>0.0</v>
      </c>
      <c r="S23" s="20"/>
      <c r="T23" s="20"/>
      <c r="U23" s="20"/>
    </row>
    <row r="24" hidden="1">
      <c r="A24" s="23"/>
      <c r="B24" s="14">
        <v>45766.0</v>
      </c>
      <c r="C24" s="16" t="s">
        <v>82</v>
      </c>
      <c r="D24" s="16">
        <v>1551.0</v>
      </c>
      <c r="E24" s="16" t="s">
        <v>73</v>
      </c>
      <c r="F24" s="16" t="s">
        <v>29</v>
      </c>
      <c r="G24" s="17"/>
      <c r="H24" s="16" t="s">
        <v>31</v>
      </c>
      <c r="I24" s="18">
        <v>1.0</v>
      </c>
      <c r="J24" s="18" t="s">
        <v>42</v>
      </c>
      <c r="K24" s="18">
        <v>18.0</v>
      </c>
      <c r="L24" s="18" t="s">
        <v>43</v>
      </c>
      <c r="M24" s="18">
        <v>10.0</v>
      </c>
      <c r="N24" s="16">
        <v>64.0</v>
      </c>
      <c r="O24" s="16" t="s">
        <v>44</v>
      </c>
      <c r="P24" s="16">
        <v>114.0</v>
      </c>
      <c r="Q24" s="18">
        <v>37.0</v>
      </c>
      <c r="R24" s="16">
        <v>0.0</v>
      </c>
      <c r="S24" s="20"/>
      <c r="T24" s="20"/>
      <c r="U24" s="20"/>
    </row>
    <row r="25" hidden="1">
      <c r="A25" s="23"/>
      <c r="B25" s="14">
        <v>45759.0</v>
      </c>
      <c r="C25" s="16" t="s">
        <v>82</v>
      </c>
      <c r="D25" s="16">
        <v>1551.0</v>
      </c>
      <c r="E25" s="16" t="s">
        <v>74</v>
      </c>
      <c r="F25" s="16" t="s">
        <v>29</v>
      </c>
      <c r="G25" s="17"/>
      <c r="H25" s="16" t="s">
        <v>75</v>
      </c>
      <c r="I25" s="18">
        <v>1.0</v>
      </c>
      <c r="J25" s="18" t="s">
        <v>76</v>
      </c>
      <c r="K25" s="18">
        <v>18.0</v>
      </c>
      <c r="L25" s="18" t="s">
        <v>43</v>
      </c>
      <c r="M25" s="18">
        <v>9.0</v>
      </c>
      <c r="N25" s="16">
        <v>72.0</v>
      </c>
      <c r="O25" s="16" t="s">
        <v>77</v>
      </c>
      <c r="P25" s="16">
        <v>127.0</v>
      </c>
      <c r="Q25" s="18">
        <v>27.0</v>
      </c>
      <c r="R25" s="16">
        <v>0.0</v>
      </c>
      <c r="S25" s="20"/>
      <c r="T25" s="20"/>
      <c r="U25" s="20"/>
    </row>
    <row r="26" hidden="1">
      <c r="A26" s="23"/>
      <c r="B26" s="14">
        <v>45739.0</v>
      </c>
      <c r="C26" s="16" t="s">
        <v>82</v>
      </c>
      <c r="D26" s="16">
        <v>1551.0</v>
      </c>
      <c r="E26" s="16" t="s">
        <v>78</v>
      </c>
      <c r="F26" s="16" t="s">
        <v>29</v>
      </c>
      <c r="G26" s="17"/>
      <c r="H26" s="16" t="s">
        <v>75</v>
      </c>
      <c r="I26" s="18">
        <v>1.0</v>
      </c>
      <c r="J26" s="18" t="s">
        <v>76</v>
      </c>
      <c r="K26" s="18">
        <v>18.0</v>
      </c>
      <c r="L26" s="18" t="s">
        <v>43</v>
      </c>
      <c r="M26" s="18">
        <v>9.0</v>
      </c>
      <c r="N26" s="16">
        <v>72.0</v>
      </c>
      <c r="O26" s="16" t="s">
        <v>77</v>
      </c>
      <c r="P26" s="16">
        <v>127.0</v>
      </c>
      <c r="Q26" s="18">
        <v>39.0</v>
      </c>
      <c r="R26" s="16">
        <v>0.0</v>
      </c>
      <c r="S26" s="20"/>
      <c r="T26" s="20"/>
      <c r="U26" s="20"/>
    </row>
    <row r="27" hidden="1">
      <c r="A27" s="23"/>
      <c r="B27" s="14">
        <v>45738.0</v>
      </c>
      <c r="C27" s="16" t="s">
        <v>82</v>
      </c>
      <c r="D27" s="16">
        <v>1551.0</v>
      </c>
      <c r="E27" s="16" t="s">
        <v>79</v>
      </c>
      <c r="F27" s="16" t="s">
        <v>29</v>
      </c>
      <c r="G27" s="17"/>
      <c r="H27" s="16" t="s">
        <v>80</v>
      </c>
      <c r="I27" s="18">
        <v>1.0</v>
      </c>
      <c r="J27" s="18" t="s">
        <v>76</v>
      </c>
      <c r="K27" s="18">
        <v>18.0</v>
      </c>
      <c r="L27" s="18" t="s">
        <v>43</v>
      </c>
      <c r="M27" s="18">
        <v>9.0</v>
      </c>
      <c r="N27" s="16">
        <v>72.0</v>
      </c>
      <c r="O27" s="16" t="s">
        <v>81</v>
      </c>
      <c r="P27" s="16">
        <v>125.0</v>
      </c>
      <c r="Q27" s="18">
        <v>40.0</v>
      </c>
      <c r="R27" s="16">
        <v>0.0</v>
      </c>
      <c r="S27" s="20"/>
      <c r="T27" s="20"/>
      <c r="U27" s="20"/>
    </row>
    <row r="28" hidden="1">
      <c r="A28" s="23"/>
      <c r="B28" s="14">
        <v>45725.0</v>
      </c>
      <c r="C28" s="16" t="s">
        <v>82</v>
      </c>
      <c r="D28" s="16">
        <v>1551.0</v>
      </c>
      <c r="E28" s="16" t="s">
        <v>83</v>
      </c>
      <c r="F28" s="16" t="s">
        <v>29</v>
      </c>
      <c r="G28" s="17"/>
      <c r="H28" s="16" t="s">
        <v>31</v>
      </c>
      <c r="I28" s="18">
        <v>1.0</v>
      </c>
      <c r="J28" s="18" t="s">
        <v>33</v>
      </c>
      <c r="K28" s="18">
        <v>9.0</v>
      </c>
      <c r="L28" s="18" t="s">
        <v>43</v>
      </c>
      <c r="M28" s="18">
        <v>5.0</v>
      </c>
      <c r="N28" s="16">
        <v>32.0</v>
      </c>
      <c r="O28" s="16" t="s">
        <v>35</v>
      </c>
      <c r="P28" s="16">
        <v>114.0</v>
      </c>
      <c r="Q28" s="18" t="s">
        <v>45</v>
      </c>
      <c r="R28" s="16">
        <v>0.0</v>
      </c>
      <c r="S28" s="20"/>
      <c r="T28" s="20"/>
      <c r="U28" s="20"/>
    </row>
    <row r="29" hidden="1">
      <c r="A29" s="23"/>
      <c r="B29" s="14">
        <v>45710.0</v>
      </c>
      <c r="C29" s="16" t="s">
        <v>82</v>
      </c>
      <c r="D29" s="16">
        <v>1551.0</v>
      </c>
      <c r="E29" s="16" t="s">
        <v>84</v>
      </c>
      <c r="F29" s="16" t="s">
        <v>29</v>
      </c>
      <c r="G29" s="17"/>
      <c r="H29" s="16" t="s">
        <v>31</v>
      </c>
      <c r="I29" s="18">
        <v>1.0</v>
      </c>
      <c r="J29" s="18" t="s">
        <v>70</v>
      </c>
      <c r="K29" s="18">
        <v>9.0</v>
      </c>
      <c r="L29" s="18" t="s">
        <v>43</v>
      </c>
      <c r="M29" s="18">
        <v>5.0</v>
      </c>
      <c r="N29" s="16">
        <v>32.0</v>
      </c>
      <c r="O29" s="16" t="s">
        <v>35</v>
      </c>
      <c r="P29" s="16">
        <v>114.0</v>
      </c>
      <c r="Q29" s="18">
        <v>26.0</v>
      </c>
      <c r="R29" s="16">
        <v>0.0</v>
      </c>
      <c r="S29" s="20"/>
      <c r="T29" s="20"/>
      <c r="U29" s="20"/>
    </row>
    <row r="30" hidden="1">
      <c r="A30" s="23"/>
      <c r="B30" s="14">
        <v>45675.0</v>
      </c>
      <c r="C30" s="16" t="s">
        <v>82</v>
      </c>
      <c r="D30" s="16">
        <v>1551.0</v>
      </c>
      <c r="E30" s="16" t="s">
        <v>85</v>
      </c>
      <c r="F30" s="16" t="s">
        <v>29</v>
      </c>
      <c r="G30" s="17"/>
      <c r="H30" s="16" t="s">
        <v>31</v>
      </c>
      <c r="I30" s="18">
        <v>1.0</v>
      </c>
      <c r="J30" s="18" t="s">
        <v>76</v>
      </c>
      <c r="K30" s="18">
        <v>9.0</v>
      </c>
      <c r="L30" s="18" t="s">
        <v>43</v>
      </c>
      <c r="M30" s="18">
        <v>5.0</v>
      </c>
      <c r="N30" s="16">
        <v>32.0</v>
      </c>
      <c r="O30" s="16" t="s">
        <v>35</v>
      </c>
      <c r="P30" s="16">
        <v>114.0</v>
      </c>
      <c r="Q30" s="18">
        <v>16.0</v>
      </c>
      <c r="R30" s="16">
        <v>0.0</v>
      </c>
      <c r="S30" s="20"/>
      <c r="T30" s="20"/>
      <c r="U30" s="20"/>
    </row>
    <row r="31" hidden="1">
      <c r="A31" s="23"/>
      <c r="B31" s="14">
        <v>45668.0</v>
      </c>
      <c r="C31" s="16" t="s">
        <v>82</v>
      </c>
      <c r="D31" s="16">
        <v>1551.0</v>
      </c>
      <c r="E31" s="16" t="s">
        <v>85</v>
      </c>
      <c r="F31" s="16" t="s">
        <v>29</v>
      </c>
      <c r="G31" s="17"/>
      <c r="H31" s="16" t="s">
        <v>31</v>
      </c>
      <c r="I31" s="18">
        <v>1.0</v>
      </c>
      <c r="J31" s="18" t="s">
        <v>42</v>
      </c>
      <c r="K31" s="18">
        <v>9.0</v>
      </c>
      <c r="L31" s="18" t="s">
        <v>43</v>
      </c>
      <c r="M31" s="18">
        <v>5.0</v>
      </c>
      <c r="N31" s="16">
        <v>32.0</v>
      </c>
      <c r="O31" s="16" t="s">
        <v>35</v>
      </c>
      <c r="P31" s="16">
        <v>114.0</v>
      </c>
      <c r="Q31" s="18">
        <v>19.0</v>
      </c>
      <c r="R31" s="16">
        <v>0.0</v>
      </c>
      <c r="S31" s="20"/>
      <c r="T31" s="20"/>
      <c r="U31" s="20"/>
    </row>
    <row r="32" hidden="1">
      <c r="A32" s="28"/>
      <c r="B32" s="29">
        <v>45654.0</v>
      </c>
      <c r="C32" s="16" t="s">
        <v>82</v>
      </c>
      <c r="D32" s="16">
        <v>1551.0</v>
      </c>
      <c r="E32" s="16" t="s">
        <v>86</v>
      </c>
      <c r="F32" s="16" t="s">
        <v>29</v>
      </c>
      <c r="G32" s="17"/>
      <c r="H32" s="16" t="s">
        <v>31</v>
      </c>
      <c r="I32" s="18">
        <v>1.0</v>
      </c>
      <c r="J32" s="18" t="s">
        <v>42</v>
      </c>
      <c r="K32" s="18">
        <v>9.0</v>
      </c>
      <c r="L32" s="18" t="s">
        <v>43</v>
      </c>
      <c r="M32" s="18">
        <v>5.0</v>
      </c>
      <c r="N32" s="16">
        <v>32.0</v>
      </c>
      <c r="O32" s="16" t="s">
        <v>35</v>
      </c>
      <c r="P32" s="16">
        <v>114.0</v>
      </c>
      <c r="Q32" s="18">
        <v>17.0</v>
      </c>
      <c r="R32" s="16">
        <v>0.0</v>
      </c>
      <c r="S32" s="20"/>
      <c r="T32" s="20"/>
      <c r="U32" s="20"/>
    </row>
    <row r="33">
      <c r="A33" s="13">
        <v>6.0</v>
      </c>
      <c r="B33" s="29">
        <v>45636.0</v>
      </c>
      <c r="C33" s="16" t="s">
        <v>82</v>
      </c>
      <c r="D33" s="16">
        <v>1551.0</v>
      </c>
      <c r="E33" s="16" t="s">
        <v>87</v>
      </c>
      <c r="F33" s="16" t="s">
        <v>29</v>
      </c>
      <c r="G33" s="17"/>
      <c r="H33" s="16" t="s">
        <v>31</v>
      </c>
      <c r="I33" s="18">
        <v>1.0</v>
      </c>
      <c r="J33" s="18" t="s">
        <v>33</v>
      </c>
      <c r="K33" s="18">
        <v>9.0</v>
      </c>
      <c r="L33" s="18" t="s">
        <v>34</v>
      </c>
      <c r="M33" s="18">
        <v>5.0</v>
      </c>
      <c r="N33" s="16">
        <v>32.0</v>
      </c>
      <c r="O33" s="16" t="s">
        <v>35</v>
      </c>
      <c r="P33" s="16">
        <v>114.0</v>
      </c>
      <c r="Q33" s="19">
        <v>23.0</v>
      </c>
      <c r="R33" s="16">
        <v>32.0</v>
      </c>
      <c r="S33" s="18">
        <v>0.0</v>
      </c>
      <c r="T33" s="30">
        <v>7.2</v>
      </c>
      <c r="U33" s="22" t="s">
        <v>36</v>
      </c>
    </row>
    <row r="34" hidden="1">
      <c r="A34" s="23"/>
      <c r="B34" s="14">
        <v>45633.0</v>
      </c>
      <c r="C34" s="16" t="s">
        <v>82</v>
      </c>
      <c r="D34" s="16">
        <v>1551.0</v>
      </c>
      <c r="E34" s="16" t="s">
        <v>90</v>
      </c>
      <c r="F34" s="16" t="s">
        <v>29</v>
      </c>
      <c r="G34" s="17"/>
      <c r="H34" s="16" t="s">
        <v>31</v>
      </c>
      <c r="I34" s="18">
        <v>1.0</v>
      </c>
      <c r="J34" s="18" t="s">
        <v>42</v>
      </c>
      <c r="K34" s="18">
        <v>9.0</v>
      </c>
      <c r="L34" s="18" t="s">
        <v>43</v>
      </c>
      <c r="M34" s="18">
        <v>5.0</v>
      </c>
      <c r="N34" s="16">
        <v>32.0</v>
      </c>
      <c r="O34" s="16" t="s">
        <v>35</v>
      </c>
      <c r="P34" s="16">
        <v>114.0</v>
      </c>
      <c r="Q34" s="18">
        <v>18.0</v>
      </c>
      <c r="R34" s="16">
        <v>0.0</v>
      </c>
      <c r="S34" s="20"/>
      <c r="T34" s="25"/>
      <c r="U34" s="20"/>
    </row>
    <row r="35" hidden="1">
      <c r="A35" s="23"/>
      <c r="B35" s="14">
        <v>45599.0</v>
      </c>
      <c r="C35" s="16" t="s">
        <v>82</v>
      </c>
      <c r="D35" s="16">
        <v>1551.0</v>
      </c>
      <c r="E35" s="16" t="s">
        <v>91</v>
      </c>
      <c r="F35" s="16" t="s">
        <v>29</v>
      </c>
      <c r="G35" s="17"/>
      <c r="H35" s="16" t="s">
        <v>31</v>
      </c>
      <c r="I35" s="18">
        <v>1.0</v>
      </c>
      <c r="J35" s="18" t="s">
        <v>33</v>
      </c>
      <c r="K35" s="18">
        <v>9.0</v>
      </c>
      <c r="L35" s="18" t="s">
        <v>43</v>
      </c>
      <c r="M35" s="18">
        <v>5.0</v>
      </c>
      <c r="N35" s="16">
        <v>32.0</v>
      </c>
      <c r="O35" s="16" t="s">
        <v>35</v>
      </c>
      <c r="P35" s="16">
        <v>114.0</v>
      </c>
      <c r="Q35" s="18" t="s">
        <v>45</v>
      </c>
      <c r="R35" s="16">
        <v>0.0</v>
      </c>
      <c r="S35" s="20"/>
      <c r="T35" s="25"/>
      <c r="U35" s="20"/>
    </row>
    <row r="36" hidden="1">
      <c r="A36" s="23"/>
      <c r="B36" s="14">
        <v>45570.0</v>
      </c>
      <c r="C36" s="16" t="s">
        <v>82</v>
      </c>
      <c r="D36" s="16">
        <v>1551.0</v>
      </c>
      <c r="E36" s="16" t="s">
        <v>92</v>
      </c>
      <c r="F36" s="16" t="s">
        <v>29</v>
      </c>
      <c r="G36" s="17"/>
      <c r="H36" s="16" t="s">
        <v>31</v>
      </c>
      <c r="I36" s="18">
        <v>1.0</v>
      </c>
      <c r="J36" s="18" t="s">
        <v>42</v>
      </c>
      <c r="K36" s="18">
        <v>18.0</v>
      </c>
      <c r="L36" s="18" t="s">
        <v>43</v>
      </c>
      <c r="M36" s="18">
        <v>11.0</v>
      </c>
      <c r="N36" s="16">
        <v>64.0</v>
      </c>
      <c r="O36" s="16" t="s">
        <v>44</v>
      </c>
      <c r="P36" s="16">
        <v>114.0</v>
      </c>
      <c r="Q36" s="18">
        <v>47.0</v>
      </c>
      <c r="R36" s="16">
        <v>0.0</v>
      </c>
      <c r="S36" s="20"/>
      <c r="T36" s="25"/>
      <c r="U36" s="20"/>
    </row>
    <row r="37">
      <c r="A37" s="13">
        <v>7.0</v>
      </c>
      <c r="B37" s="14">
        <v>45569.0</v>
      </c>
      <c r="C37" s="16" t="s">
        <v>82</v>
      </c>
      <c r="D37" s="16">
        <v>1551.0</v>
      </c>
      <c r="E37" s="16" t="s">
        <v>94</v>
      </c>
      <c r="F37" s="16" t="s">
        <v>29</v>
      </c>
      <c r="G37" s="17"/>
      <c r="H37" s="16" t="s">
        <v>31</v>
      </c>
      <c r="I37" s="18">
        <v>1.0</v>
      </c>
      <c r="J37" s="18" t="s">
        <v>33</v>
      </c>
      <c r="K37" s="18">
        <v>9.0</v>
      </c>
      <c r="L37" s="18" t="s">
        <v>34</v>
      </c>
      <c r="M37" s="18">
        <v>6.0</v>
      </c>
      <c r="N37" s="16">
        <v>32.0</v>
      </c>
      <c r="O37" s="16" t="s">
        <v>35</v>
      </c>
      <c r="P37" s="16">
        <v>114.0</v>
      </c>
      <c r="Q37" s="19">
        <v>24.0</v>
      </c>
      <c r="R37" s="16">
        <v>32.0</v>
      </c>
      <c r="S37" s="18">
        <v>0.0</v>
      </c>
      <c r="T37" s="27">
        <v>7.6</v>
      </c>
      <c r="U37" s="22" t="s">
        <v>36</v>
      </c>
    </row>
    <row r="38">
      <c r="A38" s="13">
        <v>8.0</v>
      </c>
      <c r="B38" s="14">
        <v>45557.0</v>
      </c>
      <c r="C38" s="16" t="s">
        <v>82</v>
      </c>
      <c r="D38" s="16">
        <v>1551.0</v>
      </c>
      <c r="E38" s="16" t="s">
        <v>72</v>
      </c>
      <c r="F38" s="16" t="s">
        <v>29</v>
      </c>
      <c r="G38" s="17"/>
      <c r="H38" s="16" t="s">
        <v>31</v>
      </c>
      <c r="I38" s="18">
        <v>1.0</v>
      </c>
      <c r="J38" s="18" t="s">
        <v>33</v>
      </c>
      <c r="K38" s="18">
        <v>9.0</v>
      </c>
      <c r="L38" s="18" t="s">
        <v>34</v>
      </c>
      <c r="M38" s="18">
        <v>6.0</v>
      </c>
      <c r="N38" s="16">
        <v>32.0</v>
      </c>
      <c r="O38" s="16" t="s">
        <v>35</v>
      </c>
      <c r="P38" s="16">
        <v>114.0</v>
      </c>
      <c r="Q38" s="18">
        <v>17.0</v>
      </c>
      <c r="R38" s="16">
        <v>39.0</v>
      </c>
      <c r="S38" s="18">
        <v>0.0</v>
      </c>
      <c r="T38" s="18">
        <v>14.5</v>
      </c>
      <c r="U38" s="20"/>
    </row>
    <row r="39" hidden="1">
      <c r="A39" s="23"/>
      <c r="B39" s="14">
        <v>45536.0</v>
      </c>
      <c r="C39" s="16" t="s">
        <v>82</v>
      </c>
      <c r="D39" s="16">
        <v>1551.0</v>
      </c>
      <c r="E39" s="16" t="s">
        <v>96</v>
      </c>
      <c r="F39" s="16" t="s">
        <v>29</v>
      </c>
      <c r="G39" s="17"/>
      <c r="H39" s="16" t="s">
        <v>31</v>
      </c>
      <c r="I39" s="18">
        <v>1.0</v>
      </c>
      <c r="J39" s="18" t="s">
        <v>33</v>
      </c>
      <c r="K39" s="18">
        <v>9.0</v>
      </c>
      <c r="L39" s="18" t="s">
        <v>43</v>
      </c>
      <c r="M39" s="18">
        <v>6.0</v>
      </c>
      <c r="N39" s="16">
        <v>32.0</v>
      </c>
      <c r="O39" s="16" t="s">
        <v>35</v>
      </c>
      <c r="P39" s="16">
        <v>114.0</v>
      </c>
      <c r="Q39" s="18" t="s">
        <v>45</v>
      </c>
      <c r="R39" s="16">
        <v>0.0</v>
      </c>
      <c r="S39" s="20"/>
      <c r="T39" s="20"/>
      <c r="U39" s="20"/>
    </row>
    <row r="40" hidden="1">
      <c r="A40" s="23"/>
      <c r="B40" s="14">
        <v>45500.0</v>
      </c>
      <c r="C40" s="16" t="s">
        <v>82</v>
      </c>
      <c r="D40" s="16">
        <v>1551.0</v>
      </c>
      <c r="E40" s="16" t="s">
        <v>97</v>
      </c>
      <c r="F40" s="16" t="s">
        <v>29</v>
      </c>
      <c r="G40" s="17"/>
      <c r="H40" s="16" t="s">
        <v>31</v>
      </c>
      <c r="I40" s="18">
        <v>1.0</v>
      </c>
      <c r="J40" s="18" t="s">
        <v>42</v>
      </c>
      <c r="K40" s="18">
        <v>9.0</v>
      </c>
      <c r="L40" s="18" t="s">
        <v>43</v>
      </c>
      <c r="M40" s="18">
        <v>6.0</v>
      </c>
      <c r="N40" s="16">
        <v>32.0</v>
      </c>
      <c r="O40" s="16" t="s">
        <v>35</v>
      </c>
      <c r="P40" s="16">
        <v>114.0</v>
      </c>
      <c r="Q40" s="18">
        <v>19.0</v>
      </c>
      <c r="R40" s="16">
        <v>0.0</v>
      </c>
      <c r="S40" s="20"/>
      <c r="T40" s="20"/>
      <c r="U40" s="20"/>
    </row>
    <row r="41" hidden="1">
      <c r="A41" s="23"/>
      <c r="B41" s="14">
        <v>45480.0</v>
      </c>
      <c r="C41" s="16" t="s">
        <v>82</v>
      </c>
      <c r="D41" s="16">
        <v>1551.0</v>
      </c>
      <c r="E41" s="16" t="s">
        <v>98</v>
      </c>
      <c r="F41" s="16" t="s">
        <v>29</v>
      </c>
      <c r="G41" s="17"/>
      <c r="H41" s="16" t="s">
        <v>31</v>
      </c>
      <c r="I41" s="18">
        <v>1.0</v>
      </c>
      <c r="J41" s="18" t="s">
        <v>33</v>
      </c>
      <c r="K41" s="18">
        <v>9.0</v>
      </c>
      <c r="L41" s="18" t="s">
        <v>43</v>
      </c>
      <c r="M41" s="18">
        <v>6.0</v>
      </c>
      <c r="N41" s="16">
        <v>32.0</v>
      </c>
      <c r="O41" s="16" t="s">
        <v>35</v>
      </c>
      <c r="P41" s="16">
        <v>114.0</v>
      </c>
      <c r="Q41" s="18" t="s">
        <v>59</v>
      </c>
      <c r="R41" s="16">
        <v>0.0</v>
      </c>
      <c r="S41" s="20"/>
      <c r="T41" s="20"/>
      <c r="U41" s="20"/>
    </row>
    <row r="42">
      <c r="A42" s="13">
        <v>9.0</v>
      </c>
      <c r="B42" s="14">
        <v>45448.0</v>
      </c>
      <c r="C42" s="16" t="s">
        <v>82</v>
      </c>
      <c r="D42" s="16">
        <v>1551.0</v>
      </c>
      <c r="E42" s="16" t="s">
        <v>99</v>
      </c>
      <c r="F42" s="16" t="s">
        <v>29</v>
      </c>
      <c r="G42" s="17"/>
      <c r="H42" s="16" t="s">
        <v>54</v>
      </c>
      <c r="I42" s="18">
        <v>1.0</v>
      </c>
      <c r="J42" s="18" t="s">
        <v>33</v>
      </c>
      <c r="K42" s="18">
        <v>18.0</v>
      </c>
      <c r="L42" s="18" t="s">
        <v>62</v>
      </c>
      <c r="M42" s="18">
        <v>14.0</v>
      </c>
      <c r="N42" s="16">
        <v>72.0</v>
      </c>
      <c r="O42" s="16" t="s">
        <v>55</v>
      </c>
      <c r="P42" s="16">
        <v>133.0</v>
      </c>
      <c r="Q42" s="18">
        <v>30.0</v>
      </c>
      <c r="R42" s="16">
        <v>92.0</v>
      </c>
      <c r="S42" s="18">
        <v>1.0</v>
      </c>
      <c r="T42" s="18">
        <v>16.1</v>
      </c>
      <c r="U42" s="20"/>
    </row>
    <row r="43" hidden="1">
      <c r="A43" s="23"/>
      <c r="B43" s="14">
        <v>45444.0</v>
      </c>
      <c r="C43" s="16" t="s">
        <v>82</v>
      </c>
      <c r="D43" s="16">
        <v>1551.0</v>
      </c>
      <c r="E43" s="16" t="s">
        <v>100</v>
      </c>
      <c r="F43" s="16" t="s">
        <v>29</v>
      </c>
      <c r="G43" s="17"/>
      <c r="H43" s="16" t="s">
        <v>31</v>
      </c>
      <c r="I43" s="18">
        <v>1.0</v>
      </c>
      <c r="J43" s="18" t="s">
        <v>101</v>
      </c>
      <c r="K43" s="18">
        <v>9.0</v>
      </c>
      <c r="L43" s="18" t="s">
        <v>43</v>
      </c>
      <c r="M43" s="18">
        <v>6.0</v>
      </c>
      <c r="N43" s="16">
        <v>32.0</v>
      </c>
      <c r="O43" s="16" t="s">
        <v>35</v>
      </c>
      <c r="P43" s="16">
        <v>114.0</v>
      </c>
      <c r="Q43" s="18">
        <v>15.0</v>
      </c>
      <c r="R43" s="16">
        <v>0.0</v>
      </c>
      <c r="S43" s="20"/>
      <c r="T43" s="20"/>
      <c r="U43" s="20"/>
    </row>
    <row r="44" hidden="1">
      <c r="A44" s="23"/>
      <c r="B44" s="14">
        <v>45437.0</v>
      </c>
      <c r="C44" s="16" t="s">
        <v>82</v>
      </c>
      <c r="D44" s="16">
        <v>1551.0</v>
      </c>
      <c r="E44" s="16" t="s">
        <v>102</v>
      </c>
      <c r="F44" s="16" t="s">
        <v>29</v>
      </c>
      <c r="G44" s="17"/>
      <c r="H44" s="16" t="s">
        <v>31</v>
      </c>
      <c r="I44" s="18">
        <v>1.0</v>
      </c>
      <c r="J44" s="18" t="s">
        <v>33</v>
      </c>
      <c r="K44" s="18">
        <v>18.0</v>
      </c>
      <c r="L44" s="18" t="s">
        <v>43</v>
      </c>
      <c r="M44" s="18">
        <v>11.0</v>
      </c>
      <c r="N44" s="16">
        <v>64.0</v>
      </c>
      <c r="O44" s="16" t="s">
        <v>44</v>
      </c>
      <c r="P44" s="16">
        <v>114.0</v>
      </c>
      <c r="Q44" s="18" t="s">
        <v>45</v>
      </c>
      <c r="R44" s="16">
        <v>0.0</v>
      </c>
      <c r="S44" s="20"/>
      <c r="T44" s="20"/>
      <c r="U44" s="20"/>
    </row>
    <row r="45" hidden="1">
      <c r="A45" s="23"/>
      <c r="B45" s="14">
        <v>45423.0</v>
      </c>
      <c r="C45" s="16" t="s">
        <v>82</v>
      </c>
      <c r="D45" s="16">
        <v>1551.0</v>
      </c>
      <c r="E45" s="16" t="s">
        <v>103</v>
      </c>
      <c r="F45" s="16" t="s">
        <v>29</v>
      </c>
      <c r="G45" s="17"/>
      <c r="H45" s="16" t="s">
        <v>31</v>
      </c>
      <c r="I45" s="18">
        <v>1.0</v>
      </c>
      <c r="J45" s="18" t="s">
        <v>42</v>
      </c>
      <c r="K45" s="18">
        <v>18.0</v>
      </c>
      <c r="L45" s="18" t="s">
        <v>43</v>
      </c>
      <c r="M45" s="18">
        <v>11.0</v>
      </c>
      <c r="N45" s="16">
        <v>64.0</v>
      </c>
      <c r="O45" s="16" t="s">
        <v>44</v>
      </c>
      <c r="P45" s="16">
        <v>114.0</v>
      </c>
      <c r="Q45" s="18">
        <v>46.0</v>
      </c>
      <c r="R45" s="16">
        <v>0.0</v>
      </c>
      <c r="S45" s="20"/>
      <c r="T45" s="20"/>
      <c r="U45" s="20"/>
    </row>
    <row r="46" hidden="1">
      <c r="A46" s="23"/>
      <c r="B46" s="14">
        <v>45414.0</v>
      </c>
      <c r="C46" s="16" t="s">
        <v>82</v>
      </c>
      <c r="D46" s="16">
        <v>1551.0</v>
      </c>
      <c r="E46" s="16" t="s">
        <v>104</v>
      </c>
      <c r="F46" s="16" t="s">
        <v>29</v>
      </c>
      <c r="G46" s="17"/>
      <c r="H46" s="16" t="s">
        <v>31</v>
      </c>
      <c r="I46" s="18">
        <v>1.0</v>
      </c>
      <c r="J46" s="18" t="s">
        <v>76</v>
      </c>
      <c r="K46" s="18">
        <v>18.0</v>
      </c>
      <c r="L46" s="18" t="s">
        <v>43</v>
      </c>
      <c r="M46" s="18">
        <v>10.0</v>
      </c>
      <c r="N46" s="16">
        <v>64.0</v>
      </c>
      <c r="O46" s="16" t="s">
        <v>44</v>
      </c>
      <c r="P46" s="16">
        <v>114.0</v>
      </c>
      <c r="Q46" s="18">
        <v>37.0</v>
      </c>
      <c r="R46" s="16">
        <v>0.0</v>
      </c>
      <c r="S46" s="20"/>
      <c r="T46" s="20"/>
      <c r="U46" s="20"/>
    </row>
    <row r="47" hidden="1">
      <c r="A47" s="23"/>
      <c r="B47" s="14">
        <v>45409.0</v>
      </c>
      <c r="C47" s="16" t="s">
        <v>82</v>
      </c>
      <c r="D47" s="16">
        <v>1551.0</v>
      </c>
      <c r="E47" s="16" t="s">
        <v>105</v>
      </c>
      <c r="F47" s="16" t="s">
        <v>29</v>
      </c>
      <c r="G47" s="17"/>
      <c r="H47" s="16" t="s">
        <v>31</v>
      </c>
      <c r="I47" s="18">
        <v>1.0</v>
      </c>
      <c r="J47" s="18" t="s">
        <v>42</v>
      </c>
      <c r="K47" s="18">
        <v>18.0</v>
      </c>
      <c r="L47" s="18" t="s">
        <v>43</v>
      </c>
      <c r="M47" s="18">
        <v>11.0</v>
      </c>
      <c r="N47" s="16">
        <v>64.0</v>
      </c>
      <c r="O47" s="16" t="s">
        <v>44</v>
      </c>
      <c r="P47" s="16">
        <v>114.0</v>
      </c>
      <c r="Q47" s="18">
        <v>37.0</v>
      </c>
      <c r="R47" s="16">
        <v>0.0</v>
      </c>
      <c r="S47" s="20"/>
      <c r="T47" s="20"/>
      <c r="U47" s="20"/>
    </row>
    <row r="48">
      <c r="A48" s="13">
        <v>10.0</v>
      </c>
      <c r="B48" s="14">
        <v>45407.0</v>
      </c>
      <c r="C48" s="16" t="s">
        <v>82</v>
      </c>
      <c r="D48" s="16">
        <v>1551.0</v>
      </c>
      <c r="E48" s="16" t="s">
        <v>106</v>
      </c>
      <c r="F48" s="16" t="s">
        <v>29</v>
      </c>
      <c r="G48" s="17"/>
      <c r="H48" s="16" t="s">
        <v>31</v>
      </c>
      <c r="I48" s="18">
        <v>1.0</v>
      </c>
      <c r="J48" s="18" t="s">
        <v>33</v>
      </c>
      <c r="K48" s="18">
        <v>9.0</v>
      </c>
      <c r="L48" s="18" t="s">
        <v>34</v>
      </c>
      <c r="M48" s="18">
        <v>6.0</v>
      </c>
      <c r="N48" s="16">
        <v>32.0</v>
      </c>
      <c r="O48" s="16" t="s">
        <v>35</v>
      </c>
      <c r="P48" s="16">
        <v>114.0</v>
      </c>
      <c r="Q48" s="18">
        <v>19.0</v>
      </c>
      <c r="R48" s="16">
        <v>37.0</v>
      </c>
      <c r="S48" s="18">
        <v>0.0</v>
      </c>
      <c r="T48" s="18">
        <v>12.6</v>
      </c>
      <c r="U48" s="20"/>
    </row>
    <row r="49">
      <c r="A49" s="13">
        <v>11.0</v>
      </c>
      <c r="B49" s="14">
        <v>45402.0</v>
      </c>
      <c r="C49" s="16" t="s">
        <v>82</v>
      </c>
      <c r="D49" s="16">
        <v>1551.0</v>
      </c>
      <c r="E49" s="16" t="s">
        <v>109</v>
      </c>
      <c r="F49" s="16" t="s">
        <v>29</v>
      </c>
      <c r="G49" s="17"/>
      <c r="H49" s="16" t="s">
        <v>31</v>
      </c>
      <c r="I49" s="18">
        <v>1.0</v>
      </c>
      <c r="J49" s="18" t="s">
        <v>33</v>
      </c>
      <c r="K49" s="18">
        <v>18.0</v>
      </c>
      <c r="L49" s="18" t="s">
        <v>62</v>
      </c>
      <c r="M49" s="18">
        <v>11.0</v>
      </c>
      <c r="N49" s="16">
        <v>64.0</v>
      </c>
      <c r="O49" s="16" t="s">
        <v>44</v>
      </c>
      <c r="P49" s="16">
        <v>114.0</v>
      </c>
      <c r="Q49" s="18">
        <v>34.0</v>
      </c>
      <c r="R49" s="16">
        <v>77.0</v>
      </c>
      <c r="S49" s="18">
        <v>0.0</v>
      </c>
      <c r="T49" s="18">
        <v>13.5</v>
      </c>
      <c r="U49" s="20"/>
    </row>
    <row r="50" hidden="1">
      <c r="A50" s="23"/>
      <c r="B50" s="14">
        <v>45354.0</v>
      </c>
      <c r="C50" s="16" t="s">
        <v>82</v>
      </c>
      <c r="D50" s="16">
        <v>1551.0</v>
      </c>
      <c r="E50" s="16" t="s">
        <v>112</v>
      </c>
      <c r="F50" s="16" t="s">
        <v>29</v>
      </c>
      <c r="G50" s="17"/>
      <c r="H50" s="16" t="s">
        <v>31</v>
      </c>
      <c r="I50" s="18">
        <v>1.0</v>
      </c>
      <c r="J50" s="18" t="s">
        <v>113</v>
      </c>
      <c r="K50" s="18">
        <v>18.0</v>
      </c>
      <c r="L50" s="18" t="s">
        <v>43</v>
      </c>
      <c r="M50" s="18">
        <v>8.0</v>
      </c>
      <c r="N50" s="16">
        <v>64.0</v>
      </c>
      <c r="O50" s="16" t="s">
        <v>44</v>
      </c>
      <c r="P50" s="16">
        <v>114.0</v>
      </c>
      <c r="Q50" s="18">
        <v>33.0</v>
      </c>
      <c r="R50" s="16">
        <v>0.0</v>
      </c>
      <c r="S50" s="20"/>
      <c r="T50" s="20"/>
      <c r="U50" s="20"/>
    </row>
    <row r="51" hidden="1">
      <c r="A51" s="23"/>
      <c r="B51" s="14">
        <v>45346.0</v>
      </c>
      <c r="C51" s="16" t="s">
        <v>82</v>
      </c>
      <c r="D51" s="16">
        <v>1551.0</v>
      </c>
      <c r="E51" s="16" t="s">
        <v>114</v>
      </c>
      <c r="F51" s="16" t="s">
        <v>29</v>
      </c>
      <c r="G51" s="17"/>
      <c r="H51" s="16" t="s">
        <v>31</v>
      </c>
      <c r="I51" s="18">
        <v>1.0</v>
      </c>
      <c r="J51" s="18" t="s">
        <v>42</v>
      </c>
      <c r="K51" s="18">
        <v>9.0</v>
      </c>
      <c r="L51" s="18" t="s">
        <v>43</v>
      </c>
      <c r="M51" s="18">
        <v>5.0</v>
      </c>
      <c r="N51" s="16">
        <v>32.0</v>
      </c>
      <c r="O51" s="16" t="s">
        <v>35</v>
      </c>
      <c r="P51" s="16">
        <v>114.0</v>
      </c>
      <c r="Q51" s="18">
        <v>23.0</v>
      </c>
      <c r="R51" s="16">
        <v>0.0</v>
      </c>
      <c r="S51" s="20"/>
      <c r="T51" s="20"/>
      <c r="U51" s="20"/>
    </row>
    <row r="52" hidden="1">
      <c r="A52" s="23"/>
      <c r="B52" s="14">
        <v>45333.0</v>
      </c>
      <c r="C52" s="16" t="s">
        <v>82</v>
      </c>
      <c r="D52" s="16">
        <v>1551.0</v>
      </c>
      <c r="E52" s="16" t="s">
        <v>115</v>
      </c>
      <c r="F52" s="17"/>
      <c r="G52" s="17"/>
      <c r="H52" s="16" t="s">
        <v>31</v>
      </c>
      <c r="I52" s="18">
        <v>1.0</v>
      </c>
      <c r="J52" s="18" t="s">
        <v>33</v>
      </c>
      <c r="K52" s="18">
        <v>9.0</v>
      </c>
      <c r="L52" s="18" t="s">
        <v>43</v>
      </c>
      <c r="M52" s="18">
        <v>5.0</v>
      </c>
      <c r="N52" s="16">
        <v>32.0</v>
      </c>
      <c r="O52" s="16" t="s">
        <v>35</v>
      </c>
      <c r="P52" s="16">
        <v>114.0</v>
      </c>
      <c r="Q52" s="18" t="s">
        <v>45</v>
      </c>
      <c r="R52" s="16">
        <v>0.0</v>
      </c>
      <c r="S52" s="20"/>
      <c r="T52" s="20"/>
      <c r="U52" s="20"/>
    </row>
    <row r="53" hidden="1">
      <c r="A53" s="23"/>
      <c r="B53" s="14">
        <v>45325.0</v>
      </c>
      <c r="C53" s="16" t="s">
        <v>82</v>
      </c>
      <c r="D53" s="16">
        <v>1551.0</v>
      </c>
      <c r="E53" s="16" t="s">
        <v>116</v>
      </c>
      <c r="F53" s="17"/>
      <c r="G53" s="17"/>
      <c r="H53" s="16" t="s">
        <v>117</v>
      </c>
      <c r="I53" s="18">
        <v>1.0</v>
      </c>
      <c r="J53" s="18" t="s">
        <v>70</v>
      </c>
      <c r="K53" s="18">
        <v>9.0</v>
      </c>
      <c r="L53" s="18" t="s">
        <v>43</v>
      </c>
      <c r="M53" s="18">
        <v>5.0</v>
      </c>
      <c r="N53" s="16">
        <v>32.0</v>
      </c>
      <c r="O53" s="16" t="s">
        <v>35</v>
      </c>
      <c r="P53" s="16">
        <v>114.0</v>
      </c>
      <c r="Q53" s="18">
        <v>28.0</v>
      </c>
      <c r="R53" s="16">
        <v>0.0</v>
      </c>
      <c r="S53" s="20"/>
      <c r="T53" s="20"/>
      <c r="U53" s="20"/>
    </row>
    <row r="54" hidden="1">
      <c r="A54" s="23"/>
      <c r="B54" s="14">
        <v>45312.0</v>
      </c>
      <c r="C54" s="16" t="s">
        <v>82</v>
      </c>
      <c r="D54" s="16">
        <v>1551.0</v>
      </c>
      <c r="E54" s="16" t="s">
        <v>118</v>
      </c>
      <c r="F54" s="17"/>
      <c r="G54" s="17"/>
      <c r="H54" s="16" t="s">
        <v>117</v>
      </c>
      <c r="I54" s="18">
        <v>1.0</v>
      </c>
      <c r="J54" s="18" t="s">
        <v>33</v>
      </c>
      <c r="K54" s="18">
        <v>9.0</v>
      </c>
      <c r="L54" s="18" t="s">
        <v>43</v>
      </c>
      <c r="M54" s="18">
        <v>5.0</v>
      </c>
      <c r="N54" s="17"/>
      <c r="O54" s="16" t="s">
        <v>35</v>
      </c>
      <c r="P54" s="16">
        <v>114.0</v>
      </c>
      <c r="Q54" s="18" t="s">
        <v>45</v>
      </c>
      <c r="R54" s="16">
        <v>0.0</v>
      </c>
      <c r="S54" s="20"/>
      <c r="T54" s="20"/>
      <c r="U54" s="20"/>
    </row>
    <row r="55" hidden="1">
      <c r="A55" s="28"/>
      <c r="B55" s="29">
        <v>45291.0</v>
      </c>
      <c r="C55" s="16" t="s">
        <v>82</v>
      </c>
      <c r="D55" s="16">
        <v>1551.0</v>
      </c>
      <c r="E55" s="16" t="s">
        <v>119</v>
      </c>
      <c r="F55" s="17"/>
      <c r="G55" s="17"/>
      <c r="H55" s="16" t="s">
        <v>117</v>
      </c>
      <c r="I55" s="18">
        <v>1.0</v>
      </c>
      <c r="J55" s="18" t="s">
        <v>42</v>
      </c>
      <c r="K55" s="18">
        <v>9.0</v>
      </c>
      <c r="L55" s="18" t="s">
        <v>43</v>
      </c>
      <c r="M55" s="18">
        <v>5.0</v>
      </c>
      <c r="N55" s="16">
        <v>32.0</v>
      </c>
      <c r="O55" s="16" t="s">
        <v>35</v>
      </c>
      <c r="P55" s="16">
        <v>114.0</v>
      </c>
      <c r="Q55" s="18">
        <v>16.0</v>
      </c>
      <c r="R55" s="16">
        <v>0.0</v>
      </c>
      <c r="S55" s="20"/>
      <c r="T55" s="20"/>
      <c r="U55" s="20"/>
    </row>
    <row r="56" hidden="1">
      <c r="A56" s="28"/>
      <c r="B56" s="29">
        <v>45276.0</v>
      </c>
      <c r="C56" s="16" t="s">
        <v>82</v>
      </c>
      <c r="D56" s="16">
        <v>1551.0</v>
      </c>
      <c r="E56" s="16" t="s">
        <v>120</v>
      </c>
      <c r="F56" s="17"/>
      <c r="G56" s="17"/>
      <c r="H56" s="16" t="s">
        <v>117</v>
      </c>
      <c r="I56" s="18">
        <v>1.0</v>
      </c>
      <c r="J56" s="18" t="s">
        <v>33</v>
      </c>
      <c r="K56" s="18">
        <v>9.0</v>
      </c>
      <c r="L56" s="18" t="s">
        <v>43</v>
      </c>
      <c r="M56" s="18">
        <v>5.0</v>
      </c>
      <c r="N56" s="16">
        <v>32.0</v>
      </c>
      <c r="O56" s="16" t="s">
        <v>35</v>
      </c>
      <c r="P56" s="16">
        <v>114.0</v>
      </c>
      <c r="Q56" s="18" t="s">
        <v>45</v>
      </c>
      <c r="R56" s="16">
        <v>0.0</v>
      </c>
      <c r="S56" s="20"/>
      <c r="T56" s="20"/>
      <c r="U56" s="20"/>
    </row>
    <row r="57" hidden="1">
      <c r="A57" s="23"/>
      <c r="B57" s="14">
        <v>45193.0</v>
      </c>
      <c r="C57" s="16" t="s">
        <v>82</v>
      </c>
      <c r="D57" s="16">
        <v>1551.0</v>
      </c>
      <c r="E57" s="16" t="s">
        <v>121</v>
      </c>
      <c r="F57" s="17"/>
      <c r="G57" s="17"/>
      <c r="H57" s="16" t="s">
        <v>117</v>
      </c>
      <c r="I57" s="18">
        <v>1.0</v>
      </c>
      <c r="J57" s="18" t="s">
        <v>33</v>
      </c>
      <c r="K57" s="18">
        <v>9.0</v>
      </c>
      <c r="L57" s="18" t="s">
        <v>43</v>
      </c>
      <c r="M57" s="18">
        <v>5.0</v>
      </c>
      <c r="N57" s="16">
        <v>32.0</v>
      </c>
      <c r="O57" s="16" t="s">
        <v>35</v>
      </c>
      <c r="P57" s="16">
        <v>114.0</v>
      </c>
      <c r="Q57" s="18" t="s">
        <v>45</v>
      </c>
      <c r="R57" s="16">
        <v>0.0</v>
      </c>
      <c r="S57" s="20"/>
      <c r="T57" s="20"/>
      <c r="U57" s="20"/>
    </row>
    <row r="58">
      <c r="A58" s="13">
        <v>12.0</v>
      </c>
      <c r="B58" s="14">
        <v>45189.0</v>
      </c>
      <c r="C58" s="16" t="s">
        <v>82</v>
      </c>
      <c r="D58" s="16">
        <v>1551.0</v>
      </c>
      <c r="E58" s="16" t="s">
        <v>122</v>
      </c>
      <c r="F58" s="17"/>
      <c r="G58" s="17"/>
      <c r="H58" s="16" t="s">
        <v>123</v>
      </c>
      <c r="I58" s="18">
        <v>1.0</v>
      </c>
      <c r="J58" s="18" t="s">
        <v>33</v>
      </c>
      <c r="K58" s="18">
        <v>18.0</v>
      </c>
      <c r="L58" s="18" t="s">
        <v>62</v>
      </c>
      <c r="M58" s="18">
        <v>13.0</v>
      </c>
      <c r="N58" s="16">
        <v>72.0</v>
      </c>
      <c r="O58" s="16" t="s">
        <v>124</v>
      </c>
      <c r="P58" s="16">
        <v>133.0</v>
      </c>
      <c r="Q58" s="18">
        <v>32.0</v>
      </c>
      <c r="R58" s="16">
        <v>89.0</v>
      </c>
      <c r="S58" s="18">
        <v>0.0</v>
      </c>
      <c r="T58" s="18">
        <v>15.2</v>
      </c>
      <c r="U58" s="20"/>
    </row>
    <row r="59" hidden="1">
      <c r="A59" s="23"/>
      <c r="B59" s="14">
        <v>45144.0</v>
      </c>
      <c r="C59" s="16" t="s">
        <v>82</v>
      </c>
      <c r="D59" s="16">
        <v>1551.0</v>
      </c>
      <c r="E59" s="16" t="s">
        <v>125</v>
      </c>
      <c r="F59" s="17"/>
      <c r="G59" s="17"/>
      <c r="H59" s="16" t="s">
        <v>117</v>
      </c>
      <c r="I59" s="18">
        <v>1.0</v>
      </c>
      <c r="J59" s="18" t="s">
        <v>33</v>
      </c>
      <c r="K59" s="18">
        <v>9.0</v>
      </c>
      <c r="L59" s="18" t="s">
        <v>43</v>
      </c>
      <c r="M59" s="18">
        <v>5.0</v>
      </c>
      <c r="N59" s="16">
        <v>32.0</v>
      </c>
      <c r="O59" s="16" t="s">
        <v>35</v>
      </c>
      <c r="P59" s="16">
        <v>114.0</v>
      </c>
      <c r="Q59" s="18" t="s">
        <v>59</v>
      </c>
      <c r="R59" s="16">
        <v>0.0</v>
      </c>
      <c r="S59" s="20"/>
      <c r="T59" s="20"/>
      <c r="U59" s="20"/>
    </row>
    <row r="60" hidden="1">
      <c r="A60" s="23"/>
      <c r="B60" s="14">
        <v>45099.0</v>
      </c>
      <c r="C60" s="16" t="s">
        <v>82</v>
      </c>
      <c r="D60" s="16">
        <v>1551.0</v>
      </c>
      <c r="E60" s="16" t="s">
        <v>126</v>
      </c>
      <c r="F60" s="17"/>
      <c r="G60" s="17"/>
      <c r="H60" s="16" t="s">
        <v>127</v>
      </c>
      <c r="I60" s="18">
        <v>1.0</v>
      </c>
      <c r="J60" s="18" t="s">
        <v>33</v>
      </c>
      <c r="K60" s="18">
        <v>9.0</v>
      </c>
      <c r="L60" s="18" t="s">
        <v>43</v>
      </c>
      <c r="M60" s="18">
        <v>6.0</v>
      </c>
      <c r="N60" s="16">
        <v>36.0</v>
      </c>
      <c r="O60" s="16" t="s">
        <v>128</v>
      </c>
      <c r="P60" s="16">
        <v>125.0</v>
      </c>
      <c r="Q60" s="18" t="s">
        <v>45</v>
      </c>
      <c r="R60" s="16">
        <v>0.0</v>
      </c>
      <c r="S60" s="20"/>
      <c r="T60" s="20"/>
      <c r="U60" s="20"/>
    </row>
    <row r="61">
      <c r="A61" s="13">
        <v>13.0</v>
      </c>
      <c r="B61" s="14">
        <v>45095.0</v>
      </c>
      <c r="C61" s="16" t="s">
        <v>82</v>
      </c>
      <c r="D61" s="16">
        <v>1551.0</v>
      </c>
      <c r="E61" s="16" t="s">
        <v>129</v>
      </c>
      <c r="F61" s="17"/>
      <c r="G61" s="17"/>
      <c r="H61" s="16" t="s">
        <v>117</v>
      </c>
      <c r="I61" s="18">
        <v>1.0</v>
      </c>
      <c r="J61" s="18" t="s">
        <v>33</v>
      </c>
      <c r="K61" s="18">
        <v>9.0</v>
      </c>
      <c r="L61" s="18" t="s">
        <v>34</v>
      </c>
      <c r="M61" s="18">
        <v>5.0</v>
      </c>
      <c r="N61" s="16">
        <v>32.0</v>
      </c>
      <c r="O61" s="16" t="s">
        <v>35</v>
      </c>
      <c r="P61" s="16">
        <v>114.0</v>
      </c>
      <c r="Q61" s="18">
        <v>34.0</v>
      </c>
      <c r="R61" s="16">
        <v>76.0</v>
      </c>
      <c r="S61" s="18">
        <v>0.0</v>
      </c>
      <c r="T61" s="18">
        <v>12.5</v>
      </c>
      <c r="U61" s="20"/>
    </row>
    <row r="62">
      <c r="A62" s="13">
        <v>14.0</v>
      </c>
      <c r="B62" s="14">
        <v>45087.0</v>
      </c>
      <c r="C62" s="16" t="s">
        <v>82</v>
      </c>
      <c r="D62" s="16">
        <v>1551.0</v>
      </c>
      <c r="E62" s="16" t="s">
        <v>130</v>
      </c>
      <c r="F62" s="17"/>
      <c r="G62" s="17"/>
      <c r="H62" s="16" t="s">
        <v>117</v>
      </c>
      <c r="I62" s="18">
        <v>1.0</v>
      </c>
      <c r="J62" s="18" t="s">
        <v>33</v>
      </c>
      <c r="K62" s="18">
        <v>18.0</v>
      </c>
      <c r="L62" s="18" t="s">
        <v>62</v>
      </c>
      <c r="M62" s="18">
        <v>11.0</v>
      </c>
      <c r="N62" s="16">
        <v>64.0</v>
      </c>
      <c r="O62" s="16" t="s">
        <v>44</v>
      </c>
      <c r="P62" s="16">
        <v>114.0</v>
      </c>
      <c r="Q62" s="19">
        <v>37.0</v>
      </c>
      <c r="R62" s="16">
        <v>74.0</v>
      </c>
      <c r="S62" s="18">
        <v>0.0</v>
      </c>
      <c r="T62" s="31">
        <v>10.5</v>
      </c>
      <c r="U62" s="22" t="s">
        <v>36</v>
      </c>
    </row>
    <row r="63" hidden="1">
      <c r="A63" s="23"/>
      <c r="B63" s="14">
        <v>45083.0</v>
      </c>
      <c r="C63" s="16" t="s">
        <v>82</v>
      </c>
      <c r="D63" s="16">
        <v>1551.0</v>
      </c>
      <c r="E63" s="16" t="s">
        <v>99</v>
      </c>
      <c r="F63" s="17"/>
      <c r="G63" s="17"/>
      <c r="H63" s="16" t="s">
        <v>54</v>
      </c>
      <c r="I63" s="18">
        <v>1.0</v>
      </c>
      <c r="J63" s="18" t="s">
        <v>33</v>
      </c>
      <c r="K63" s="18">
        <v>18.0</v>
      </c>
      <c r="L63" s="18" t="s">
        <v>43</v>
      </c>
      <c r="M63" s="18">
        <v>13.0</v>
      </c>
      <c r="N63" s="16">
        <v>72.0</v>
      </c>
      <c r="O63" s="16" t="s">
        <v>55</v>
      </c>
      <c r="P63" s="16">
        <v>133.0</v>
      </c>
      <c r="Q63" s="18" t="s">
        <v>45</v>
      </c>
      <c r="R63" s="16">
        <v>0.0</v>
      </c>
      <c r="S63" s="20"/>
      <c r="T63" s="20"/>
      <c r="U63" s="20"/>
    </row>
    <row r="64" hidden="1">
      <c r="A64" s="23"/>
      <c r="B64" s="14">
        <v>45077.0</v>
      </c>
      <c r="C64" s="16" t="s">
        <v>82</v>
      </c>
      <c r="D64" s="16">
        <v>1551.0</v>
      </c>
      <c r="E64" s="16" t="s">
        <v>135</v>
      </c>
      <c r="F64" s="17"/>
      <c r="G64" s="17"/>
      <c r="H64" s="16" t="s">
        <v>136</v>
      </c>
      <c r="I64" s="18">
        <v>1.0</v>
      </c>
      <c r="J64" s="18" t="s">
        <v>33</v>
      </c>
      <c r="K64" s="18">
        <v>9.0</v>
      </c>
      <c r="L64" s="18" t="s">
        <v>43</v>
      </c>
      <c r="M64" s="18">
        <v>7.0</v>
      </c>
      <c r="N64" s="16">
        <v>37.0</v>
      </c>
      <c r="O64" s="16" t="s">
        <v>137</v>
      </c>
      <c r="P64" s="16">
        <v>138.0</v>
      </c>
      <c r="Q64" s="18" t="s">
        <v>45</v>
      </c>
      <c r="R64" s="16">
        <v>0.0</v>
      </c>
      <c r="S64" s="20"/>
      <c r="T64" s="20"/>
      <c r="U64" s="20"/>
    </row>
    <row r="65" hidden="1">
      <c r="A65" s="23"/>
      <c r="B65" s="14">
        <v>45017.0</v>
      </c>
      <c r="C65" s="16" t="s">
        <v>82</v>
      </c>
      <c r="D65" s="16">
        <v>1551.0</v>
      </c>
      <c r="E65" s="16" t="s">
        <v>138</v>
      </c>
      <c r="F65" s="17"/>
      <c r="G65" s="17"/>
      <c r="H65" s="16" t="s">
        <v>117</v>
      </c>
      <c r="I65" s="18">
        <v>1.0</v>
      </c>
      <c r="J65" s="18" t="s">
        <v>42</v>
      </c>
      <c r="K65" s="18">
        <v>18.0</v>
      </c>
      <c r="L65" s="18" t="s">
        <v>43</v>
      </c>
      <c r="M65" s="18">
        <v>11.0</v>
      </c>
      <c r="N65" s="16">
        <v>64.0</v>
      </c>
      <c r="O65" s="16" t="s">
        <v>44</v>
      </c>
      <c r="P65" s="16">
        <v>114.0</v>
      </c>
      <c r="Q65" s="18">
        <v>40.0</v>
      </c>
      <c r="R65" s="16">
        <v>0.0</v>
      </c>
      <c r="S65" s="20"/>
      <c r="T65" s="20"/>
      <c r="U65" s="20"/>
    </row>
    <row r="66" hidden="1">
      <c r="A66" s="23"/>
      <c r="B66" s="14">
        <v>44989.0</v>
      </c>
      <c r="C66" s="16" t="s">
        <v>82</v>
      </c>
      <c r="D66" s="16">
        <v>1551.0</v>
      </c>
      <c r="E66" s="16" t="s">
        <v>139</v>
      </c>
      <c r="F66" s="17"/>
      <c r="G66" s="17"/>
      <c r="H66" s="16" t="s">
        <v>117</v>
      </c>
      <c r="I66" s="18">
        <v>1.0</v>
      </c>
      <c r="J66" s="18" t="s">
        <v>113</v>
      </c>
      <c r="K66" s="18">
        <v>18.0</v>
      </c>
      <c r="L66" s="18" t="s">
        <v>43</v>
      </c>
      <c r="M66" s="18">
        <v>11.0</v>
      </c>
      <c r="N66" s="16">
        <v>64.0</v>
      </c>
      <c r="O66" s="16" t="s">
        <v>44</v>
      </c>
      <c r="P66" s="16">
        <v>114.0</v>
      </c>
      <c r="Q66" s="18">
        <v>38.0</v>
      </c>
      <c r="R66" s="16">
        <v>0.0</v>
      </c>
      <c r="S66" s="20"/>
      <c r="T66" s="20"/>
      <c r="U66" s="20"/>
    </row>
    <row r="67" hidden="1">
      <c r="A67" s="23"/>
      <c r="B67" s="14">
        <v>44941.0</v>
      </c>
      <c r="C67" s="16" t="s">
        <v>82</v>
      </c>
      <c r="D67" s="16">
        <v>1551.0</v>
      </c>
      <c r="E67" s="16" t="s">
        <v>140</v>
      </c>
      <c r="F67" s="17"/>
      <c r="G67" s="17"/>
      <c r="H67" s="16" t="s">
        <v>75</v>
      </c>
      <c r="I67" s="18">
        <v>1.0</v>
      </c>
      <c r="J67" s="18" t="s">
        <v>42</v>
      </c>
      <c r="K67" s="18">
        <v>18.0</v>
      </c>
      <c r="L67" s="18" t="s">
        <v>43</v>
      </c>
      <c r="M67" s="18">
        <v>12.0</v>
      </c>
      <c r="N67" s="16">
        <v>72.0</v>
      </c>
      <c r="O67" s="16" t="s">
        <v>77</v>
      </c>
      <c r="P67" s="16">
        <v>127.0</v>
      </c>
      <c r="Q67" s="18">
        <v>31.0</v>
      </c>
      <c r="R67" s="16">
        <v>0.0</v>
      </c>
      <c r="S67" s="20"/>
      <c r="T67" s="20"/>
      <c r="U67" s="20"/>
    </row>
    <row r="68" hidden="1">
      <c r="A68" s="23"/>
      <c r="B68" s="14">
        <v>44932.0</v>
      </c>
      <c r="C68" s="16" t="s">
        <v>82</v>
      </c>
      <c r="D68" s="16">
        <v>1551.0</v>
      </c>
      <c r="E68" s="16" t="s">
        <v>141</v>
      </c>
      <c r="F68" s="17"/>
      <c r="G68" s="17"/>
      <c r="H68" s="16" t="s">
        <v>117</v>
      </c>
      <c r="I68" s="18">
        <v>1.0</v>
      </c>
      <c r="J68" s="18" t="s">
        <v>42</v>
      </c>
      <c r="K68" s="18">
        <v>9.0</v>
      </c>
      <c r="L68" s="18" t="s">
        <v>43</v>
      </c>
      <c r="M68" s="18">
        <v>5.0</v>
      </c>
      <c r="N68" s="16">
        <v>32.0</v>
      </c>
      <c r="O68" s="16" t="s">
        <v>35</v>
      </c>
      <c r="P68" s="16">
        <v>114.0</v>
      </c>
      <c r="Q68" s="18">
        <v>17.0</v>
      </c>
      <c r="R68" s="16">
        <v>0.0</v>
      </c>
      <c r="S68" s="20"/>
      <c r="T68" s="20"/>
      <c r="U68" s="20"/>
    </row>
    <row r="69" hidden="1">
      <c r="A69" s="23"/>
      <c r="B69" s="14">
        <v>44899.0</v>
      </c>
      <c r="C69" s="16" t="s">
        <v>82</v>
      </c>
      <c r="D69" s="16">
        <v>1551.0</v>
      </c>
      <c r="E69" s="16" t="s">
        <v>142</v>
      </c>
      <c r="F69" s="17"/>
      <c r="G69" s="17"/>
      <c r="H69" s="16" t="s">
        <v>75</v>
      </c>
      <c r="I69" s="18">
        <v>1.0</v>
      </c>
      <c r="J69" s="18" t="s">
        <v>76</v>
      </c>
      <c r="K69" s="18">
        <v>18.0</v>
      </c>
      <c r="L69" s="18" t="s">
        <v>43</v>
      </c>
      <c r="M69" s="18">
        <v>10.0</v>
      </c>
      <c r="N69" s="16">
        <v>72.0</v>
      </c>
      <c r="O69" s="16" t="s">
        <v>77</v>
      </c>
      <c r="P69" s="16">
        <v>127.0</v>
      </c>
      <c r="Q69" s="18">
        <v>36.0</v>
      </c>
      <c r="R69" s="16">
        <v>0.0</v>
      </c>
      <c r="S69" s="20"/>
      <c r="T69" s="20"/>
      <c r="U69" s="20"/>
    </row>
    <row r="70" hidden="1">
      <c r="A70" s="23"/>
      <c r="B70" s="14">
        <v>44788.0</v>
      </c>
      <c r="C70" s="16" t="s">
        <v>82</v>
      </c>
      <c r="D70" s="16">
        <v>1551.0</v>
      </c>
      <c r="E70" s="16" t="s">
        <v>143</v>
      </c>
      <c r="F70" s="17"/>
      <c r="G70" s="17"/>
      <c r="H70" s="16" t="s">
        <v>117</v>
      </c>
      <c r="I70" s="18">
        <v>1.0</v>
      </c>
      <c r="J70" s="18" t="s">
        <v>42</v>
      </c>
      <c r="K70" s="18">
        <v>9.0</v>
      </c>
      <c r="L70" s="18" t="s">
        <v>43</v>
      </c>
      <c r="M70" s="18">
        <v>5.0</v>
      </c>
      <c r="N70" s="16">
        <v>32.0</v>
      </c>
      <c r="O70" s="16" t="s">
        <v>35</v>
      </c>
      <c r="P70" s="16">
        <v>114.0</v>
      </c>
      <c r="Q70" s="18">
        <v>22.0</v>
      </c>
      <c r="R70" s="16">
        <v>0.0</v>
      </c>
      <c r="S70" s="20"/>
      <c r="T70" s="20"/>
      <c r="U70" s="20"/>
    </row>
    <row r="71" hidden="1">
      <c r="A71" s="23"/>
      <c r="B71" s="14">
        <v>44786.0</v>
      </c>
      <c r="C71" s="16" t="s">
        <v>82</v>
      </c>
      <c r="D71" s="16">
        <v>1551.0</v>
      </c>
      <c r="E71" s="16" t="s">
        <v>144</v>
      </c>
      <c r="F71" s="17"/>
      <c r="G71" s="17"/>
      <c r="H71" s="16" t="s">
        <v>117</v>
      </c>
      <c r="I71" s="18">
        <v>1.0</v>
      </c>
      <c r="J71" s="18" t="s">
        <v>33</v>
      </c>
      <c r="K71" s="18">
        <v>9.0</v>
      </c>
      <c r="L71" s="18" t="s">
        <v>43</v>
      </c>
      <c r="M71" s="18">
        <v>5.0</v>
      </c>
      <c r="N71" s="16">
        <v>32.0</v>
      </c>
      <c r="O71" s="16" t="s">
        <v>35</v>
      </c>
      <c r="P71" s="16">
        <v>114.0</v>
      </c>
      <c r="Q71" s="18" t="s">
        <v>45</v>
      </c>
      <c r="R71" s="16">
        <v>0.0</v>
      </c>
      <c r="S71" s="20"/>
      <c r="T71" s="20"/>
      <c r="U71" s="20"/>
    </row>
    <row r="72" hidden="1">
      <c r="A72" s="23"/>
      <c r="B72" s="14">
        <v>44758.0</v>
      </c>
      <c r="C72" s="16" t="s">
        <v>82</v>
      </c>
      <c r="D72" s="16">
        <v>1551.0</v>
      </c>
      <c r="E72" s="16" t="s">
        <v>145</v>
      </c>
      <c r="F72" s="17"/>
      <c r="G72" s="17"/>
      <c r="H72" s="16" t="s">
        <v>117</v>
      </c>
      <c r="I72" s="18">
        <v>1.0</v>
      </c>
      <c r="J72" s="18" t="s">
        <v>42</v>
      </c>
      <c r="K72" s="18">
        <v>9.0</v>
      </c>
      <c r="L72" s="18" t="s">
        <v>43</v>
      </c>
      <c r="M72" s="18">
        <v>5.0</v>
      </c>
      <c r="N72" s="16">
        <v>32.0</v>
      </c>
      <c r="O72" s="16" t="s">
        <v>35</v>
      </c>
      <c r="P72" s="16">
        <v>114.0</v>
      </c>
      <c r="Q72" s="18">
        <v>18.0</v>
      </c>
      <c r="R72" s="16">
        <v>0.0</v>
      </c>
      <c r="S72" s="20"/>
      <c r="T72" s="20"/>
      <c r="U72" s="20"/>
    </row>
    <row r="73" hidden="1">
      <c r="A73" s="23"/>
      <c r="B73" s="14">
        <v>44731.0</v>
      </c>
      <c r="C73" s="16" t="s">
        <v>82</v>
      </c>
      <c r="D73" s="16">
        <v>1551.0</v>
      </c>
      <c r="E73" s="16" t="s">
        <v>146</v>
      </c>
      <c r="F73" s="17"/>
      <c r="G73" s="17"/>
      <c r="H73" s="16" t="s">
        <v>117</v>
      </c>
      <c r="I73" s="18">
        <v>1.0</v>
      </c>
      <c r="J73" s="18" t="s">
        <v>33</v>
      </c>
      <c r="K73" s="18">
        <v>9.0</v>
      </c>
      <c r="L73" s="18" t="s">
        <v>43</v>
      </c>
      <c r="M73" s="18">
        <v>6.0</v>
      </c>
      <c r="N73" s="16">
        <v>32.0</v>
      </c>
      <c r="O73" s="16" t="s">
        <v>35</v>
      </c>
      <c r="P73" s="16">
        <v>114.0</v>
      </c>
      <c r="Q73" s="18" t="s">
        <v>59</v>
      </c>
      <c r="R73" s="16">
        <v>0.0</v>
      </c>
      <c r="S73" s="20"/>
      <c r="T73" s="20"/>
      <c r="U73" s="18" t="s">
        <v>37</v>
      </c>
    </row>
    <row r="74" hidden="1">
      <c r="A74" s="23"/>
      <c r="B74" s="14">
        <v>44730.0</v>
      </c>
      <c r="C74" s="16" t="s">
        <v>82</v>
      </c>
      <c r="D74" s="16">
        <v>1551.0</v>
      </c>
      <c r="E74" s="16" t="s">
        <v>147</v>
      </c>
      <c r="F74" s="17"/>
      <c r="G74" s="17"/>
      <c r="H74" s="16" t="s">
        <v>117</v>
      </c>
      <c r="I74" s="18">
        <v>1.0</v>
      </c>
      <c r="J74" s="18" t="s">
        <v>33</v>
      </c>
      <c r="K74" s="18">
        <v>18.0</v>
      </c>
      <c r="L74" s="18" t="s">
        <v>43</v>
      </c>
      <c r="M74" s="18">
        <v>11.0</v>
      </c>
      <c r="N74" s="16">
        <v>64.0</v>
      </c>
      <c r="O74" s="16" t="s">
        <v>44</v>
      </c>
      <c r="P74" s="16">
        <v>114.0</v>
      </c>
      <c r="Q74" s="18" t="s">
        <v>59</v>
      </c>
      <c r="R74" s="16">
        <v>0.0</v>
      </c>
      <c r="S74" s="20"/>
      <c r="T74" s="20"/>
      <c r="U74" s="20"/>
    </row>
    <row r="75" hidden="1">
      <c r="A75" s="23"/>
      <c r="B75" s="14">
        <v>44726.0</v>
      </c>
      <c r="C75" s="16" t="s">
        <v>82</v>
      </c>
      <c r="D75" s="16">
        <v>1551.0</v>
      </c>
      <c r="E75" s="16" t="s">
        <v>148</v>
      </c>
      <c r="F75" s="17"/>
      <c r="G75" s="17"/>
      <c r="H75" s="16" t="s">
        <v>54</v>
      </c>
      <c r="I75" s="18">
        <v>1.0</v>
      </c>
      <c r="J75" s="18" t="s">
        <v>33</v>
      </c>
      <c r="K75" s="18">
        <v>18.0</v>
      </c>
      <c r="L75" s="18" t="s">
        <v>43</v>
      </c>
      <c r="M75" s="18">
        <v>14.0</v>
      </c>
      <c r="N75" s="16">
        <v>72.0</v>
      </c>
      <c r="O75" s="16" t="s">
        <v>55</v>
      </c>
      <c r="P75" s="16">
        <v>133.0</v>
      </c>
      <c r="Q75" s="18" t="s">
        <v>45</v>
      </c>
      <c r="R75" s="16">
        <v>0.0</v>
      </c>
      <c r="S75" s="20"/>
      <c r="T75" s="20"/>
      <c r="U75" s="20"/>
    </row>
    <row r="76" hidden="1">
      <c r="A76" s="23"/>
      <c r="B76" s="14">
        <v>44681.0</v>
      </c>
      <c r="C76" s="16" t="s">
        <v>82</v>
      </c>
      <c r="D76" s="16">
        <v>1551.0</v>
      </c>
      <c r="E76" s="16" t="s">
        <v>150</v>
      </c>
      <c r="F76" s="17"/>
      <c r="G76" s="17"/>
      <c r="H76" s="16" t="s">
        <v>117</v>
      </c>
      <c r="I76" s="18">
        <v>1.0</v>
      </c>
      <c r="J76" s="18" t="s">
        <v>42</v>
      </c>
      <c r="K76" s="18">
        <v>18.0</v>
      </c>
      <c r="L76" s="18" t="s">
        <v>43</v>
      </c>
      <c r="M76" s="18">
        <v>11.0</v>
      </c>
      <c r="N76" s="16">
        <v>64.0</v>
      </c>
      <c r="O76" s="16" t="s">
        <v>44</v>
      </c>
      <c r="P76" s="16">
        <v>114.0</v>
      </c>
      <c r="Q76" s="18">
        <v>40.0</v>
      </c>
      <c r="R76" s="16">
        <v>0.0</v>
      </c>
      <c r="S76" s="20"/>
      <c r="T76" s="20"/>
      <c r="U76" s="20"/>
    </row>
    <row r="77">
      <c r="A77" s="13">
        <v>15.0</v>
      </c>
      <c r="B77" s="14">
        <v>44669.0</v>
      </c>
      <c r="C77" s="16" t="s">
        <v>82</v>
      </c>
      <c r="D77" s="16">
        <v>1551.0</v>
      </c>
      <c r="E77" s="16" t="s">
        <v>146</v>
      </c>
      <c r="F77" s="17"/>
      <c r="G77" s="17"/>
      <c r="H77" s="16" t="s">
        <v>117</v>
      </c>
      <c r="I77" s="18">
        <v>1.0</v>
      </c>
      <c r="J77" s="18" t="s">
        <v>33</v>
      </c>
      <c r="K77" s="18">
        <v>9.0</v>
      </c>
      <c r="L77" s="18" t="s">
        <v>34</v>
      </c>
      <c r="M77" s="18">
        <v>5.0</v>
      </c>
      <c r="N77" s="16">
        <v>32.0</v>
      </c>
      <c r="O77" s="16" t="s">
        <v>35</v>
      </c>
      <c r="P77" s="16">
        <v>114.0</v>
      </c>
      <c r="Q77" s="18">
        <v>33.0</v>
      </c>
      <c r="R77" s="16">
        <v>77.0</v>
      </c>
      <c r="S77" s="18">
        <v>0.0</v>
      </c>
      <c r="T77" s="18">
        <v>13.5</v>
      </c>
      <c r="U77" s="20"/>
    </row>
    <row r="78">
      <c r="A78" s="13">
        <v>16.0</v>
      </c>
      <c r="B78" s="14">
        <v>44661.0</v>
      </c>
      <c r="C78" s="16" t="s">
        <v>82</v>
      </c>
      <c r="D78" s="16">
        <v>1551.0</v>
      </c>
      <c r="E78" s="16" t="s">
        <v>151</v>
      </c>
      <c r="F78" s="17"/>
      <c r="G78" s="17"/>
      <c r="H78" s="16" t="s">
        <v>117</v>
      </c>
      <c r="I78" s="18">
        <v>1.0</v>
      </c>
      <c r="J78" s="18" t="s">
        <v>33</v>
      </c>
      <c r="K78" s="18">
        <v>18.0</v>
      </c>
      <c r="L78" s="18" t="s">
        <v>62</v>
      </c>
      <c r="M78" s="18">
        <v>11.0</v>
      </c>
      <c r="N78" s="16">
        <v>64.0</v>
      </c>
      <c r="O78" s="16" t="s">
        <v>44</v>
      </c>
      <c r="P78" s="16">
        <v>114.0</v>
      </c>
      <c r="Q78" s="18">
        <v>30.0</v>
      </c>
      <c r="R78" s="16">
        <v>81.0</v>
      </c>
      <c r="S78" s="18">
        <v>0.0</v>
      </c>
      <c r="T78" s="18">
        <v>17.4</v>
      </c>
      <c r="U78" s="20"/>
    </row>
    <row r="79">
      <c r="A79" s="13">
        <v>17.0</v>
      </c>
      <c r="B79" s="14">
        <v>44647.0</v>
      </c>
      <c r="C79" s="16" t="s">
        <v>82</v>
      </c>
      <c r="D79" s="16">
        <v>1551.0</v>
      </c>
      <c r="E79" s="16" t="s">
        <v>152</v>
      </c>
      <c r="F79" s="17"/>
      <c r="G79" s="17"/>
      <c r="H79" s="16" t="s">
        <v>117</v>
      </c>
      <c r="I79" s="18">
        <v>1.0</v>
      </c>
      <c r="J79" s="18" t="s">
        <v>33</v>
      </c>
      <c r="K79" s="18">
        <v>18.0</v>
      </c>
      <c r="L79" s="18" t="s">
        <v>62</v>
      </c>
      <c r="M79" s="18">
        <v>11.0</v>
      </c>
      <c r="N79" s="16">
        <v>64.0</v>
      </c>
      <c r="O79" s="16" t="s">
        <v>44</v>
      </c>
      <c r="P79" s="16">
        <v>114.0</v>
      </c>
      <c r="Q79" s="19">
        <v>39.0</v>
      </c>
      <c r="R79" s="16">
        <v>72.0</v>
      </c>
      <c r="S79" s="18">
        <v>0.0</v>
      </c>
      <c r="T79" s="31">
        <v>8.5</v>
      </c>
      <c r="U79" s="22" t="s">
        <v>36</v>
      </c>
    </row>
    <row r="80" hidden="1">
      <c r="A80" s="23"/>
      <c r="B80" s="14">
        <v>44639.0</v>
      </c>
      <c r="C80" s="16" t="s">
        <v>82</v>
      </c>
      <c r="D80" s="16">
        <v>1551.0</v>
      </c>
      <c r="E80" s="16" t="s">
        <v>153</v>
      </c>
      <c r="F80" s="17"/>
      <c r="G80" s="17"/>
      <c r="H80" s="16" t="s">
        <v>117</v>
      </c>
      <c r="I80" s="18">
        <v>1.0</v>
      </c>
      <c r="J80" s="18" t="s">
        <v>33</v>
      </c>
      <c r="K80" s="18">
        <v>18.0</v>
      </c>
      <c r="L80" s="18" t="s">
        <v>43</v>
      </c>
      <c r="M80" s="18">
        <v>11.0</v>
      </c>
      <c r="N80" s="16">
        <v>64.0</v>
      </c>
      <c r="O80" s="16" t="s">
        <v>44</v>
      </c>
      <c r="P80" s="16">
        <v>114.0</v>
      </c>
      <c r="Q80" s="18" t="s">
        <v>59</v>
      </c>
      <c r="R80" s="16">
        <v>0.0</v>
      </c>
      <c r="S80" s="20"/>
      <c r="T80" s="20"/>
      <c r="U80" s="20"/>
    </row>
    <row r="81" hidden="1">
      <c r="A81" s="23"/>
      <c r="B81" s="14">
        <v>44632.0</v>
      </c>
      <c r="C81" s="16" t="s">
        <v>82</v>
      </c>
      <c r="D81" s="16">
        <v>1551.0</v>
      </c>
      <c r="E81" s="16" t="s">
        <v>154</v>
      </c>
      <c r="F81" s="17"/>
      <c r="G81" s="17"/>
      <c r="H81" s="16" t="s">
        <v>117</v>
      </c>
      <c r="I81" s="18">
        <v>1.0</v>
      </c>
      <c r="J81" s="18" t="s">
        <v>42</v>
      </c>
      <c r="K81" s="18">
        <v>18.0</v>
      </c>
      <c r="L81" s="18" t="s">
        <v>43</v>
      </c>
      <c r="M81" s="18">
        <v>11.0</v>
      </c>
      <c r="N81" s="16">
        <v>64.0</v>
      </c>
      <c r="O81" s="16" t="s">
        <v>44</v>
      </c>
      <c r="P81" s="16">
        <v>114.0</v>
      </c>
      <c r="Q81" s="18">
        <v>42.0</v>
      </c>
      <c r="R81" s="16">
        <v>0.0</v>
      </c>
      <c r="S81" s="20"/>
      <c r="T81" s="20"/>
      <c r="U81" s="20"/>
    </row>
    <row r="82" hidden="1">
      <c r="A82" s="23"/>
      <c r="B82" s="14">
        <v>44618.0</v>
      </c>
      <c r="C82" s="16" t="s">
        <v>82</v>
      </c>
      <c r="D82" s="16">
        <v>1551.0</v>
      </c>
      <c r="E82" s="16" t="s">
        <v>156</v>
      </c>
      <c r="F82" s="17"/>
      <c r="G82" s="17"/>
      <c r="H82" s="16" t="s">
        <v>117</v>
      </c>
      <c r="I82" s="18">
        <v>1.0</v>
      </c>
      <c r="J82" s="18" t="s">
        <v>42</v>
      </c>
      <c r="K82" s="18">
        <v>9.0</v>
      </c>
      <c r="L82" s="18" t="s">
        <v>43</v>
      </c>
      <c r="M82" s="18">
        <v>6.0</v>
      </c>
      <c r="N82" s="16">
        <v>32.0</v>
      </c>
      <c r="O82" s="16" t="s">
        <v>35</v>
      </c>
      <c r="P82" s="16">
        <v>114.0</v>
      </c>
      <c r="Q82" s="18">
        <v>18.0</v>
      </c>
      <c r="R82" s="16">
        <v>0.0</v>
      </c>
      <c r="S82" s="20"/>
      <c r="T82" s="20"/>
      <c r="U82" s="20"/>
    </row>
    <row r="83" hidden="1">
      <c r="A83" s="23"/>
      <c r="B83" s="14">
        <v>44597.0</v>
      </c>
      <c r="C83" s="16" t="s">
        <v>82</v>
      </c>
      <c r="D83" s="16">
        <v>1551.0</v>
      </c>
      <c r="E83" s="16" t="s">
        <v>157</v>
      </c>
      <c r="F83" s="17"/>
      <c r="G83" s="17"/>
      <c r="H83" s="16" t="s">
        <v>117</v>
      </c>
      <c r="I83" s="18">
        <v>1.0</v>
      </c>
      <c r="J83" s="18" t="s">
        <v>76</v>
      </c>
      <c r="K83" s="18">
        <v>9.0</v>
      </c>
      <c r="L83" s="18" t="s">
        <v>43</v>
      </c>
      <c r="M83" s="18">
        <v>5.0</v>
      </c>
      <c r="N83" s="16">
        <v>32.0</v>
      </c>
      <c r="O83" s="16" t="s">
        <v>35</v>
      </c>
      <c r="P83" s="16">
        <v>114.0</v>
      </c>
      <c r="Q83" s="18">
        <v>17.0</v>
      </c>
      <c r="R83" s="16">
        <v>0.0</v>
      </c>
      <c r="S83" s="20"/>
      <c r="T83" s="20"/>
      <c r="U83" s="20"/>
    </row>
    <row r="84" hidden="1">
      <c r="A84" s="23"/>
      <c r="B84" s="14">
        <v>44590.0</v>
      </c>
      <c r="C84" s="16" t="s">
        <v>82</v>
      </c>
      <c r="D84" s="16">
        <v>1551.0</v>
      </c>
      <c r="E84" s="16" t="s">
        <v>158</v>
      </c>
      <c r="F84" s="17"/>
      <c r="G84" s="17"/>
      <c r="H84" s="16" t="s">
        <v>117</v>
      </c>
      <c r="I84" s="18">
        <v>1.0</v>
      </c>
      <c r="J84" s="18" t="s">
        <v>42</v>
      </c>
      <c r="K84" s="18">
        <v>9.0</v>
      </c>
      <c r="L84" s="18" t="s">
        <v>43</v>
      </c>
      <c r="M84" s="18">
        <v>6.0</v>
      </c>
      <c r="N84" s="16">
        <v>32.0</v>
      </c>
      <c r="O84" s="16" t="s">
        <v>35</v>
      </c>
      <c r="P84" s="16">
        <v>114.0</v>
      </c>
      <c r="Q84" s="18">
        <v>22.0</v>
      </c>
      <c r="R84" s="16">
        <v>0.0</v>
      </c>
      <c r="S84" s="20"/>
      <c r="T84" s="20"/>
      <c r="U84" s="20"/>
    </row>
    <row r="85" hidden="1">
      <c r="A85" s="23"/>
      <c r="B85" s="14">
        <v>44584.0</v>
      </c>
      <c r="C85" s="16" t="s">
        <v>82</v>
      </c>
      <c r="D85" s="16">
        <v>1551.0</v>
      </c>
      <c r="E85" s="16" t="s">
        <v>159</v>
      </c>
      <c r="F85" s="17"/>
      <c r="G85" s="17"/>
      <c r="H85" s="16" t="s">
        <v>117</v>
      </c>
      <c r="I85" s="18">
        <v>1.0</v>
      </c>
      <c r="J85" s="18" t="s">
        <v>33</v>
      </c>
      <c r="K85" s="18">
        <v>9.0</v>
      </c>
      <c r="L85" s="18" t="s">
        <v>43</v>
      </c>
      <c r="M85" s="18">
        <v>6.0</v>
      </c>
      <c r="N85" s="16">
        <v>32.0</v>
      </c>
      <c r="O85" s="16" t="s">
        <v>35</v>
      </c>
      <c r="P85" s="16">
        <v>114.0</v>
      </c>
      <c r="Q85" s="18" t="s">
        <v>45</v>
      </c>
      <c r="R85" s="16">
        <v>0.0</v>
      </c>
      <c r="S85" s="20"/>
      <c r="T85" s="20"/>
      <c r="U85" s="20"/>
    </row>
    <row r="86" hidden="1">
      <c r="A86" s="23"/>
      <c r="B86" s="14">
        <v>44576.0</v>
      </c>
      <c r="C86" s="16" t="s">
        <v>82</v>
      </c>
      <c r="D86" s="16">
        <v>1551.0</v>
      </c>
      <c r="E86" s="16" t="s">
        <v>160</v>
      </c>
      <c r="F86" s="17"/>
      <c r="G86" s="17"/>
      <c r="H86" s="16" t="s">
        <v>117</v>
      </c>
      <c r="I86" s="18">
        <v>1.0</v>
      </c>
      <c r="J86" s="18" t="s">
        <v>42</v>
      </c>
      <c r="K86" s="18">
        <v>9.0</v>
      </c>
      <c r="L86" s="18" t="s">
        <v>43</v>
      </c>
      <c r="M86" s="18">
        <v>6.0</v>
      </c>
      <c r="N86" s="16">
        <v>32.0</v>
      </c>
      <c r="O86" s="16" t="s">
        <v>35</v>
      </c>
      <c r="P86" s="16">
        <v>114.0</v>
      </c>
      <c r="Q86" s="18">
        <v>18.0</v>
      </c>
      <c r="R86" s="16">
        <v>0.0</v>
      </c>
      <c r="S86" s="20"/>
      <c r="T86" s="20"/>
      <c r="U86" s="20"/>
    </row>
    <row r="87" hidden="1">
      <c r="A87" s="28"/>
      <c r="B87" s="29">
        <v>44561.0</v>
      </c>
      <c r="C87" s="16" t="s">
        <v>82</v>
      </c>
      <c r="D87" s="16">
        <v>1551.0</v>
      </c>
      <c r="E87" s="16" t="s">
        <v>161</v>
      </c>
      <c r="F87" s="17"/>
      <c r="G87" s="17"/>
      <c r="H87" s="16" t="s">
        <v>117</v>
      </c>
      <c r="I87" s="18">
        <v>1.0</v>
      </c>
      <c r="J87" s="18" t="s">
        <v>42</v>
      </c>
      <c r="K87" s="18">
        <v>9.0</v>
      </c>
      <c r="L87" s="18" t="s">
        <v>43</v>
      </c>
      <c r="M87" s="18">
        <v>6.0</v>
      </c>
      <c r="N87" s="16">
        <v>32.0</v>
      </c>
      <c r="O87" s="16" t="s">
        <v>35</v>
      </c>
      <c r="P87" s="16">
        <v>114.0</v>
      </c>
      <c r="Q87" s="18">
        <v>21.0</v>
      </c>
      <c r="R87" s="16">
        <v>0.0</v>
      </c>
      <c r="S87" s="20"/>
      <c r="T87" s="20"/>
      <c r="U87" s="20"/>
    </row>
    <row r="88" hidden="1">
      <c r="A88" s="28"/>
      <c r="B88" s="29">
        <v>44548.0</v>
      </c>
      <c r="C88" s="16" t="s">
        <v>82</v>
      </c>
      <c r="D88" s="16">
        <v>1551.0</v>
      </c>
      <c r="E88" s="16" t="s">
        <v>162</v>
      </c>
      <c r="F88" s="17"/>
      <c r="G88" s="17"/>
      <c r="H88" s="16" t="s">
        <v>117</v>
      </c>
      <c r="I88" s="18">
        <v>1.0</v>
      </c>
      <c r="J88" s="18" t="s">
        <v>33</v>
      </c>
      <c r="K88" s="18">
        <v>9.0</v>
      </c>
      <c r="L88" s="18" t="s">
        <v>43</v>
      </c>
      <c r="M88" s="18">
        <v>6.0</v>
      </c>
      <c r="N88" s="16">
        <v>32.0</v>
      </c>
      <c r="O88" s="16" t="s">
        <v>35</v>
      </c>
      <c r="P88" s="16">
        <v>114.0</v>
      </c>
      <c r="Q88" s="18" t="s">
        <v>45</v>
      </c>
      <c r="R88" s="16">
        <v>0.0</v>
      </c>
      <c r="S88" s="20"/>
      <c r="T88" s="20"/>
      <c r="U88" s="20"/>
    </row>
    <row r="89" hidden="1">
      <c r="A89" s="28"/>
      <c r="B89" s="29">
        <v>44527.0</v>
      </c>
      <c r="C89" s="16" t="s">
        <v>82</v>
      </c>
      <c r="D89" s="16">
        <v>1551.0</v>
      </c>
      <c r="E89" s="16" t="s">
        <v>163</v>
      </c>
      <c r="F89" s="17"/>
      <c r="G89" s="17"/>
      <c r="H89" s="16" t="s">
        <v>117</v>
      </c>
      <c r="I89" s="18">
        <v>1.0</v>
      </c>
      <c r="J89" s="18" t="s">
        <v>42</v>
      </c>
      <c r="K89" s="18">
        <v>9.0</v>
      </c>
      <c r="L89" s="18" t="s">
        <v>43</v>
      </c>
      <c r="M89" s="18">
        <v>6.0</v>
      </c>
      <c r="N89" s="16">
        <v>32.0</v>
      </c>
      <c r="O89" s="16" t="s">
        <v>35</v>
      </c>
      <c r="P89" s="16">
        <v>114.0</v>
      </c>
      <c r="Q89" s="18">
        <v>19.0</v>
      </c>
      <c r="R89" s="16">
        <v>0.0</v>
      </c>
      <c r="S89" s="20"/>
      <c r="T89" s="20"/>
      <c r="U89" s="20"/>
    </row>
    <row r="90" hidden="1">
      <c r="A90" s="23"/>
      <c r="B90" s="14">
        <v>44506.0</v>
      </c>
      <c r="C90" s="16" t="s">
        <v>82</v>
      </c>
      <c r="D90" s="16">
        <v>1551.0</v>
      </c>
      <c r="E90" s="16" t="s">
        <v>164</v>
      </c>
      <c r="F90" s="17"/>
      <c r="G90" s="17"/>
      <c r="H90" s="16" t="s">
        <v>75</v>
      </c>
      <c r="I90" s="18">
        <v>1.0</v>
      </c>
      <c r="J90" s="18" t="s">
        <v>33</v>
      </c>
      <c r="K90" s="18">
        <v>18.0</v>
      </c>
      <c r="L90" s="18" t="s">
        <v>43</v>
      </c>
      <c r="M90" s="18">
        <v>13.0</v>
      </c>
      <c r="N90" s="16">
        <v>71.0</v>
      </c>
      <c r="O90" s="16" t="s">
        <v>165</v>
      </c>
      <c r="P90" s="16">
        <v>126.0</v>
      </c>
      <c r="Q90" s="18" t="s">
        <v>45</v>
      </c>
      <c r="R90" s="16">
        <v>0.0</v>
      </c>
      <c r="S90" s="20"/>
      <c r="T90" s="20"/>
      <c r="U90" s="20"/>
    </row>
    <row r="91">
      <c r="A91" s="13">
        <v>18.0</v>
      </c>
      <c r="B91" s="29">
        <v>44493.0</v>
      </c>
      <c r="C91" s="16" t="s">
        <v>82</v>
      </c>
      <c r="D91" s="16">
        <v>1551.0</v>
      </c>
      <c r="E91" s="16" t="s">
        <v>166</v>
      </c>
      <c r="F91" s="17"/>
      <c r="G91" s="17"/>
      <c r="H91" s="16" t="s">
        <v>117</v>
      </c>
      <c r="I91" s="18">
        <v>1.0</v>
      </c>
      <c r="J91" s="18" t="s">
        <v>33</v>
      </c>
      <c r="K91" s="18">
        <v>9.0</v>
      </c>
      <c r="L91" s="18" t="s">
        <v>34</v>
      </c>
      <c r="M91" s="18">
        <v>6.0</v>
      </c>
      <c r="N91" s="16">
        <v>32.0</v>
      </c>
      <c r="O91" s="16" t="s">
        <v>35</v>
      </c>
      <c r="P91" s="16">
        <v>114.0</v>
      </c>
      <c r="Q91" s="18">
        <v>31.0</v>
      </c>
      <c r="R91" s="16">
        <v>80.0</v>
      </c>
      <c r="S91" s="18">
        <v>-1.0</v>
      </c>
      <c r="T91" s="18">
        <v>17.0</v>
      </c>
      <c r="U91" s="18"/>
    </row>
    <row r="92" hidden="1">
      <c r="A92" s="23"/>
      <c r="B92" s="14">
        <v>44478.0</v>
      </c>
      <c r="C92" s="16" t="s">
        <v>82</v>
      </c>
      <c r="D92" s="16">
        <v>1551.0</v>
      </c>
      <c r="E92" s="16" t="s">
        <v>167</v>
      </c>
      <c r="F92" s="17"/>
      <c r="G92" s="17"/>
      <c r="H92" s="16" t="s">
        <v>117</v>
      </c>
      <c r="I92" s="18">
        <v>1.0</v>
      </c>
      <c r="J92" s="18" t="s">
        <v>33</v>
      </c>
      <c r="K92" s="18">
        <v>18.0</v>
      </c>
      <c r="L92" s="18" t="s">
        <v>43</v>
      </c>
      <c r="M92" s="18">
        <v>11.0</v>
      </c>
      <c r="N92" s="16">
        <v>64.0</v>
      </c>
      <c r="O92" s="16" t="s">
        <v>44</v>
      </c>
      <c r="P92" s="16">
        <v>114.0</v>
      </c>
      <c r="Q92" s="18" t="s">
        <v>45</v>
      </c>
      <c r="R92" s="16">
        <v>0.0</v>
      </c>
      <c r="S92" s="20"/>
      <c r="T92" s="20"/>
      <c r="U92" s="20"/>
    </row>
    <row r="93" hidden="1">
      <c r="A93" s="23"/>
      <c r="B93" s="14">
        <v>44401.0</v>
      </c>
      <c r="C93" s="16" t="s">
        <v>82</v>
      </c>
      <c r="D93" s="16">
        <v>1551.0</v>
      </c>
      <c r="E93" s="16" t="s">
        <v>168</v>
      </c>
      <c r="F93" s="17"/>
      <c r="G93" s="17"/>
      <c r="H93" s="16" t="s">
        <v>117</v>
      </c>
      <c r="I93" s="18">
        <v>1.0</v>
      </c>
      <c r="J93" s="18" t="s">
        <v>42</v>
      </c>
      <c r="K93" s="18">
        <v>9.0</v>
      </c>
      <c r="L93" s="18" t="s">
        <v>43</v>
      </c>
      <c r="M93" s="18">
        <v>6.0</v>
      </c>
      <c r="N93" s="16">
        <v>32.0</v>
      </c>
      <c r="O93" s="16" t="s">
        <v>35</v>
      </c>
      <c r="P93" s="16">
        <v>114.0</v>
      </c>
      <c r="Q93" s="18">
        <v>17.0</v>
      </c>
      <c r="R93" s="16">
        <v>0.0</v>
      </c>
      <c r="S93" s="20"/>
      <c r="T93" s="20"/>
      <c r="U93" s="20"/>
    </row>
    <row r="94">
      <c r="A94" s="13">
        <v>19.0</v>
      </c>
      <c r="B94" s="14">
        <v>44394.0</v>
      </c>
      <c r="C94" s="16" t="s">
        <v>82</v>
      </c>
      <c r="D94" s="16">
        <v>1551.0</v>
      </c>
      <c r="E94" s="16" t="s">
        <v>169</v>
      </c>
      <c r="F94" s="17"/>
      <c r="G94" s="17"/>
      <c r="H94" s="16" t="s">
        <v>117</v>
      </c>
      <c r="I94" s="18">
        <v>1.0</v>
      </c>
      <c r="J94" s="18" t="s">
        <v>33</v>
      </c>
      <c r="K94" s="18">
        <v>9.0</v>
      </c>
      <c r="L94" s="18" t="s">
        <v>34</v>
      </c>
      <c r="M94" s="18">
        <v>6.0</v>
      </c>
      <c r="N94" s="16">
        <v>32.0</v>
      </c>
      <c r="O94" s="16" t="s">
        <v>35</v>
      </c>
      <c r="P94" s="16">
        <v>114.0</v>
      </c>
      <c r="Q94" s="18">
        <v>32.0</v>
      </c>
      <c r="R94" s="16">
        <v>79.0</v>
      </c>
      <c r="S94" s="18">
        <v>-1.0</v>
      </c>
      <c r="T94" s="18">
        <v>16.0</v>
      </c>
      <c r="U94" s="18"/>
    </row>
    <row r="95">
      <c r="A95" s="13">
        <v>20.0</v>
      </c>
      <c r="B95" s="14">
        <v>44374.0</v>
      </c>
      <c r="C95" s="16" t="s">
        <v>82</v>
      </c>
      <c r="D95" s="16">
        <v>1551.0</v>
      </c>
      <c r="E95" s="16" t="s">
        <v>170</v>
      </c>
      <c r="F95" s="17"/>
      <c r="G95" s="17"/>
      <c r="H95" s="16" t="s">
        <v>117</v>
      </c>
      <c r="I95" s="18">
        <v>1.0</v>
      </c>
      <c r="J95" s="18" t="s">
        <v>33</v>
      </c>
      <c r="K95" s="18">
        <v>18.0</v>
      </c>
      <c r="L95" s="18" t="s">
        <v>62</v>
      </c>
      <c r="M95" s="18">
        <v>12.0</v>
      </c>
      <c r="N95" s="16">
        <v>64.0</v>
      </c>
      <c r="O95" s="16" t="s">
        <v>44</v>
      </c>
      <c r="P95" s="16">
        <v>114.0</v>
      </c>
      <c r="Q95" s="18">
        <v>37.0</v>
      </c>
      <c r="R95" s="16">
        <v>75.0</v>
      </c>
      <c r="S95" s="18">
        <v>-1.0</v>
      </c>
      <c r="T95" s="18">
        <v>12.5</v>
      </c>
      <c r="U95" s="18"/>
    </row>
    <row r="96">
      <c r="A96" s="32"/>
      <c r="B96" s="33"/>
    </row>
    <row r="97">
      <c r="A97" s="34"/>
    </row>
    <row r="98">
      <c r="A98" s="34"/>
    </row>
    <row r="99">
      <c r="A99" s="34"/>
    </row>
    <row r="100">
      <c r="A100" s="34"/>
    </row>
    <row r="101">
      <c r="A101" s="34"/>
    </row>
    <row r="102">
      <c r="A102" s="34"/>
    </row>
    <row r="103">
      <c r="A103" s="34"/>
    </row>
    <row r="104">
      <c r="A104" s="34"/>
    </row>
    <row r="105">
      <c r="A105" s="34"/>
    </row>
    <row r="106">
      <c r="A106" s="34"/>
    </row>
    <row r="107">
      <c r="A107" s="34"/>
    </row>
    <row r="108">
      <c r="A108" s="34"/>
    </row>
    <row r="109">
      <c r="A109" s="34"/>
    </row>
    <row r="110">
      <c r="A110" s="34"/>
    </row>
    <row r="111">
      <c r="A111" s="34"/>
    </row>
    <row r="112">
      <c r="A112" s="34"/>
    </row>
    <row r="113">
      <c r="A113" s="34"/>
    </row>
    <row r="114">
      <c r="A114" s="34"/>
    </row>
    <row r="115">
      <c r="A115" s="34"/>
    </row>
    <row r="116">
      <c r="A116" s="34"/>
    </row>
    <row r="117">
      <c r="A117" s="34"/>
    </row>
    <row r="118">
      <c r="A118" s="34"/>
    </row>
    <row r="119">
      <c r="A119" s="34"/>
    </row>
    <row r="120">
      <c r="A120" s="34"/>
    </row>
    <row r="121">
      <c r="A121" s="34"/>
    </row>
    <row r="122">
      <c r="A122" s="34"/>
    </row>
    <row r="123">
      <c r="A123" s="34"/>
    </row>
    <row r="124">
      <c r="A124" s="34"/>
    </row>
    <row r="125">
      <c r="A125" s="34"/>
    </row>
    <row r="126">
      <c r="A126" s="34"/>
    </row>
    <row r="127">
      <c r="A127" s="34"/>
    </row>
    <row r="128">
      <c r="A128" s="34"/>
    </row>
    <row r="129">
      <c r="A129" s="34"/>
    </row>
    <row r="130">
      <c r="A130" s="34"/>
    </row>
    <row r="131">
      <c r="A131" s="34"/>
    </row>
    <row r="132">
      <c r="A132" s="34"/>
    </row>
    <row r="133">
      <c r="A133" s="34"/>
    </row>
    <row r="134">
      <c r="A134" s="34"/>
    </row>
    <row r="135">
      <c r="A135" s="34"/>
    </row>
    <row r="136">
      <c r="A136" s="34"/>
    </row>
    <row r="137">
      <c r="A137" s="34"/>
    </row>
    <row r="138">
      <c r="A138" s="34"/>
    </row>
    <row r="139">
      <c r="A139" s="34"/>
    </row>
    <row r="140">
      <c r="A140" s="34"/>
    </row>
    <row r="141">
      <c r="A141" s="34"/>
    </row>
    <row r="142">
      <c r="A142" s="34"/>
    </row>
    <row r="143">
      <c r="A143" s="34"/>
    </row>
    <row r="144">
      <c r="A144" s="34"/>
    </row>
    <row r="145">
      <c r="A145" s="34"/>
    </row>
    <row r="146">
      <c r="A146" s="34"/>
    </row>
    <row r="147">
      <c r="A147" s="34"/>
    </row>
    <row r="148">
      <c r="A148" s="34"/>
    </row>
    <row r="149">
      <c r="A149" s="34"/>
    </row>
    <row r="150">
      <c r="A150" s="34"/>
    </row>
    <row r="151">
      <c r="A151" s="34"/>
    </row>
    <row r="152">
      <c r="A152" s="34"/>
    </row>
    <row r="153">
      <c r="A153" s="34"/>
    </row>
    <row r="154">
      <c r="A154" s="34"/>
    </row>
    <row r="155">
      <c r="A155" s="34"/>
    </row>
    <row r="156">
      <c r="A156" s="34"/>
    </row>
    <row r="157">
      <c r="A157" s="34"/>
    </row>
    <row r="158">
      <c r="A158" s="34"/>
    </row>
    <row r="159">
      <c r="A159" s="34"/>
    </row>
    <row r="160">
      <c r="A160" s="34"/>
    </row>
    <row r="161">
      <c r="A161" s="34"/>
    </row>
    <row r="162">
      <c r="A162" s="34"/>
    </row>
    <row r="163">
      <c r="A163" s="34"/>
    </row>
    <row r="164">
      <c r="A164" s="34"/>
    </row>
    <row r="165">
      <c r="A165" s="34"/>
    </row>
    <row r="166">
      <c r="A166" s="34"/>
    </row>
    <row r="167">
      <c r="A167" s="34"/>
    </row>
    <row r="168">
      <c r="A168" s="34"/>
    </row>
    <row r="169">
      <c r="A169" s="34"/>
    </row>
    <row r="170">
      <c r="A170" s="34"/>
    </row>
    <row r="171">
      <c r="A171" s="34"/>
    </row>
    <row r="172">
      <c r="A172" s="34"/>
    </row>
    <row r="173">
      <c r="A173" s="34"/>
    </row>
    <row r="174">
      <c r="A174" s="34"/>
    </row>
    <row r="175">
      <c r="A175" s="34"/>
    </row>
    <row r="176">
      <c r="A176" s="34"/>
    </row>
    <row r="177">
      <c r="A177" s="34"/>
    </row>
    <row r="178">
      <c r="A178" s="34"/>
    </row>
    <row r="179">
      <c r="A179" s="34"/>
    </row>
    <row r="180">
      <c r="A180" s="34"/>
    </row>
    <row r="181">
      <c r="A181" s="34"/>
    </row>
    <row r="182">
      <c r="A182" s="34"/>
    </row>
    <row r="183">
      <c r="A183" s="34"/>
    </row>
    <row r="184">
      <c r="A184" s="34"/>
    </row>
    <row r="185">
      <c r="A185" s="34"/>
    </row>
    <row r="186">
      <c r="A186" s="34"/>
    </row>
    <row r="187">
      <c r="A187" s="34"/>
    </row>
    <row r="188">
      <c r="A188" s="34"/>
    </row>
    <row r="189">
      <c r="A189" s="34"/>
    </row>
    <row r="190">
      <c r="A190" s="34"/>
    </row>
    <row r="191">
      <c r="A191" s="34"/>
    </row>
    <row r="192">
      <c r="A192" s="34"/>
    </row>
    <row r="193">
      <c r="A193" s="34"/>
    </row>
    <row r="194">
      <c r="A194" s="34"/>
    </row>
    <row r="195">
      <c r="A195" s="34"/>
    </row>
    <row r="196">
      <c r="A196" s="34"/>
    </row>
    <row r="197">
      <c r="A197" s="34"/>
    </row>
    <row r="198">
      <c r="A198" s="34"/>
    </row>
    <row r="199">
      <c r="A199" s="34"/>
    </row>
    <row r="200">
      <c r="A200" s="34"/>
    </row>
    <row r="201">
      <c r="A201" s="34"/>
    </row>
    <row r="202">
      <c r="A202" s="34"/>
    </row>
    <row r="203">
      <c r="A203" s="34"/>
    </row>
    <row r="204">
      <c r="A204" s="34"/>
    </row>
    <row r="205">
      <c r="A205" s="34"/>
    </row>
    <row r="206">
      <c r="A206" s="34"/>
    </row>
    <row r="207">
      <c r="A207" s="34"/>
    </row>
    <row r="208">
      <c r="A208" s="34"/>
    </row>
    <row r="209">
      <c r="A209" s="34"/>
    </row>
    <row r="210">
      <c r="A210" s="34"/>
    </row>
    <row r="211">
      <c r="A211" s="34"/>
    </row>
    <row r="212">
      <c r="A212" s="34"/>
    </row>
    <row r="213">
      <c r="A213" s="34"/>
    </row>
    <row r="214">
      <c r="A214" s="34"/>
    </row>
    <row r="215">
      <c r="A215" s="34"/>
    </row>
    <row r="216">
      <c r="A216" s="34"/>
    </row>
    <row r="217">
      <c r="A217" s="34"/>
    </row>
    <row r="218">
      <c r="A218" s="34"/>
    </row>
    <row r="219">
      <c r="A219" s="34"/>
    </row>
    <row r="220">
      <c r="A220" s="34"/>
    </row>
    <row r="221">
      <c r="A221" s="34"/>
    </row>
    <row r="222">
      <c r="A222" s="34"/>
    </row>
    <row r="223">
      <c r="A223" s="34"/>
    </row>
    <row r="224">
      <c r="A224" s="34"/>
    </row>
    <row r="225">
      <c r="A225" s="34"/>
    </row>
    <row r="226">
      <c r="A226" s="34"/>
    </row>
    <row r="227">
      <c r="A227" s="34"/>
    </row>
    <row r="228">
      <c r="A228" s="34"/>
    </row>
    <row r="229">
      <c r="A229" s="34"/>
    </row>
    <row r="230">
      <c r="A230" s="34"/>
    </row>
    <row r="231">
      <c r="A231" s="34"/>
    </row>
    <row r="232">
      <c r="A232" s="34"/>
    </row>
    <row r="233">
      <c r="A233" s="34"/>
    </row>
    <row r="234">
      <c r="A234" s="34"/>
    </row>
    <row r="235">
      <c r="A235" s="34"/>
    </row>
    <row r="236">
      <c r="A236" s="34"/>
    </row>
    <row r="237">
      <c r="A237" s="34"/>
    </row>
    <row r="238">
      <c r="A238" s="34"/>
    </row>
    <row r="239">
      <c r="A239" s="34"/>
    </row>
    <row r="240">
      <c r="A240" s="34"/>
    </row>
    <row r="241">
      <c r="A241" s="34"/>
    </row>
    <row r="242">
      <c r="A242" s="34"/>
    </row>
    <row r="243">
      <c r="A243" s="34"/>
    </row>
    <row r="244">
      <c r="A244" s="34"/>
    </row>
    <row r="245">
      <c r="A245" s="34"/>
    </row>
    <row r="246">
      <c r="A246" s="34"/>
    </row>
    <row r="247">
      <c r="A247" s="34"/>
    </row>
    <row r="248">
      <c r="A248" s="34"/>
    </row>
    <row r="249">
      <c r="A249" s="34"/>
    </row>
    <row r="250">
      <c r="A250" s="34"/>
    </row>
    <row r="251">
      <c r="A251" s="34"/>
    </row>
    <row r="252">
      <c r="A252" s="34"/>
    </row>
    <row r="253">
      <c r="A253" s="34"/>
    </row>
    <row r="254">
      <c r="A254" s="34"/>
    </row>
    <row r="255">
      <c r="A255" s="34"/>
    </row>
    <row r="256">
      <c r="A256" s="34"/>
    </row>
    <row r="257">
      <c r="A257" s="34"/>
    </row>
    <row r="258">
      <c r="A258" s="34"/>
    </row>
    <row r="259">
      <c r="A259" s="34"/>
    </row>
    <row r="260">
      <c r="A260" s="34"/>
    </row>
    <row r="261">
      <c r="A261" s="34"/>
    </row>
    <row r="262">
      <c r="A262" s="34"/>
    </row>
    <row r="263">
      <c r="A263" s="34"/>
    </row>
    <row r="264">
      <c r="A264" s="34"/>
    </row>
    <row r="265">
      <c r="A265" s="34"/>
    </row>
    <row r="266">
      <c r="A266" s="34"/>
    </row>
    <row r="267">
      <c r="A267" s="34"/>
    </row>
    <row r="268">
      <c r="A268" s="34"/>
    </row>
    <row r="269">
      <c r="A269" s="34"/>
    </row>
    <row r="270">
      <c r="A270" s="34"/>
    </row>
    <row r="271">
      <c r="A271" s="34"/>
    </row>
    <row r="272">
      <c r="A272" s="34"/>
    </row>
    <row r="273">
      <c r="A273" s="34"/>
    </row>
    <row r="274">
      <c r="A274" s="34"/>
    </row>
    <row r="275">
      <c r="A275" s="34"/>
    </row>
    <row r="276">
      <c r="A276" s="34"/>
    </row>
    <row r="277">
      <c r="A277" s="34"/>
    </row>
    <row r="278">
      <c r="A278" s="34"/>
    </row>
    <row r="279">
      <c r="A279" s="34"/>
    </row>
    <row r="280">
      <c r="A280" s="34"/>
    </row>
    <row r="281">
      <c r="A281" s="34"/>
    </row>
    <row r="282">
      <c r="A282" s="34"/>
    </row>
    <row r="283">
      <c r="A283" s="34"/>
    </row>
    <row r="284">
      <c r="A284" s="34"/>
    </row>
    <row r="285">
      <c r="A285" s="34"/>
    </row>
    <row r="286">
      <c r="A286" s="34"/>
    </row>
    <row r="287">
      <c r="A287" s="34"/>
    </row>
    <row r="288">
      <c r="A288" s="34"/>
    </row>
    <row r="289">
      <c r="A289" s="34"/>
    </row>
    <row r="290">
      <c r="A290" s="34"/>
    </row>
    <row r="291">
      <c r="A291" s="34"/>
    </row>
    <row r="292">
      <c r="A292" s="34"/>
    </row>
    <row r="293">
      <c r="A293" s="34"/>
    </row>
    <row r="294">
      <c r="A294" s="34"/>
    </row>
    <row r="295">
      <c r="A295" s="34"/>
    </row>
    <row r="296">
      <c r="A296" s="34"/>
    </row>
    <row r="297">
      <c r="A297" s="34"/>
    </row>
    <row r="298">
      <c r="A298" s="34"/>
    </row>
    <row r="299">
      <c r="A299" s="34"/>
    </row>
    <row r="300">
      <c r="A300" s="34"/>
    </row>
    <row r="301">
      <c r="A301" s="34"/>
    </row>
    <row r="302">
      <c r="A302" s="34"/>
    </row>
    <row r="303">
      <c r="A303" s="34"/>
    </row>
    <row r="304">
      <c r="A304" s="34"/>
    </row>
    <row r="305">
      <c r="A305" s="34"/>
    </row>
    <row r="306">
      <c r="A306" s="34"/>
    </row>
    <row r="307">
      <c r="A307" s="34"/>
    </row>
    <row r="308">
      <c r="A308" s="34"/>
    </row>
    <row r="309">
      <c r="A309" s="34"/>
    </row>
    <row r="310">
      <c r="A310" s="34"/>
    </row>
    <row r="311">
      <c r="A311" s="34"/>
    </row>
    <row r="312">
      <c r="A312" s="34"/>
    </row>
    <row r="313">
      <c r="A313" s="34"/>
    </row>
    <row r="314">
      <c r="A314" s="34"/>
    </row>
    <row r="315">
      <c r="A315" s="34"/>
    </row>
    <row r="316">
      <c r="A316" s="34"/>
    </row>
    <row r="317">
      <c r="A317" s="34"/>
    </row>
    <row r="318">
      <c r="A318" s="34"/>
    </row>
    <row r="319">
      <c r="A319" s="34"/>
    </row>
    <row r="320">
      <c r="A320" s="34"/>
    </row>
    <row r="321">
      <c r="A321" s="34"/>
    </row>
    <row r="322">
      <c r="A322" s="34"/>
    </row>
    <row r="323">
      <c r="A323" s="34"/>
    </row>
    <row r="324">
      <c r="A324" s="34"/>
    </row>
    <row r="325">
      <c r="A325" s="34"/>
    </row>
    <row r="326">
      <c r="A326" s="34"/>
    </row>
    <row r="327">
      <c r="A327" s="34"/>
    </row>
    <row r="328">
      <c r="A328" s="34"/>
    </row>
    <row r="329">
      <c r="A329" s="34"/>
    </row>
    <row r="330">
      <c r="A330" s="34"/>
    </row>
    <row r="331">
      <c r="A331" s="34"/>
    </row>
    <row r="332">
      <c r="A332" s="34"/>
    </row>
    <row r="333">
      <c r="A333" s="34"/>
    </row>
    <row r="334">
      <c r="A334" s="34"/>
    </row>
    <row r="335">
      <c r="A335" s="34"/>
    </row>
    <row r="336">
      <c r="A336" s="34"/>
    </row>
    <row r="337">
      <c r="A337" s="34"/>
    </row>
    <row r="338">
      <c r="A338" s="34"/>
    </row>
    <row r="339">
      <c r="A339" s="34"/>
    </row>
    <row r="340">
      <c r="A340" s="34"/>
    </row>
    <row r="341">
      <c r="A341" s="34"/>
    </row>
    <row r="342">
      <c r="A342" s="34"/>
    </row>
    <row r="343">
      <c r="A343" s="34"/>
    </row>
    <row r="344">
      <c r="A344" s="34"/>
    </row>
    <row r="345">
      <c r="A345" s="34"/>
    </row>
    <row r="346">
      <c r="A346" s="34"/>
    </row>
    <row r="347">
      <c r="A347" s="34"/>
    </row>
    <row r="348">
      <c r="A348" s="34"/>
    </row>
    <row r="349">
      <c r="A349" s="34"/>
    </row>
    <row r="350">
      <c r="A350" s="34"/>
    </row>
    <row r="351">
      <c r="A351" s="34"/>
    </row>
    <row r="352">
      <c r="A352" s="34"/>
    </row>
    <row r="353">
      <c r="A353" s="34"/>
    </row>
    <row r="354">
      <c r="A354" s="34"/>
    </row>
    <row r="355">
      <c r="A355" s="34"/>
    </row>
    <row r="356">
      <c r="A356" s="34"/>
    </row>
    <row r="357">
      <c r="A357" s="34"/>
    </row>
    <row r="358">
      <c r="A358" s="34"/>
    </row>
    <row r="359">
      <c r="A359" s="34"/>
    </row>
    <row r="360">
      <c r="A360" s="34"/>
    </row>
    <row r="361">
      <c r="A361" s="34"/>
    </row>
    <row r="362">
      <c r="A362" s="34"/>
    </row>
    <row r="363">
      <c r="A363" s="34"/>
    </row>
    <row r="364">
      <c r="A364" s="34"/>
    </row>
    <row r="365">
      <c r="A365" s="34"/>
    </row>
    <row r="366">
      <c r="A366" s="34"/>
    </row>
    <row r="367">
      <c r="A367" s="34"/>
    </row>
    <row r="368">
      <c r="A368" s="34"/>
    </row>
    <row r="369">
      <c r="A369" s="34"/>
    </row>
    <row r="370">
      <c r="A370" s="34"/>
    </row>
    <row r="371">
      <c r="A371" s="34"/>
    </row>
    <row r="372">
      <c r="A372" s="34"/>
    </row>
    <row r="373">
      <c r="A373" s="34"/>
    </row>
    <row r="374">
      <c r="A374" s="34"/>
    </row>
    <row r="375">
      <c r="A375" s="34"/>
    </row>
    <row r="376">
      <c r="A376" s="34"/>
    </row>
    <row r="377">
      <c r="A377" s="34"/>
    </row>
    <row r="378">
      <c r="A378" s="34"/>
    </row>
    <row r="379">
      <c r="A379" s="34"/>
    </row>
    <row r="380">
      <c r="A380" s="34"/>
    </row>
    <row r="381">
      <c r="A381" s="34"/>
    </row>
    <row r="382">
      <c r="A382" s="34"/>
    </row>
    <row r="383">
      <c r="A383" s="34"/>
    </row>
    <row r="384">
      <c r="A384" s="34"/>
    </row>
    <row r="385">
      <c r="A385" s="34"/>
    </row>
    <row r="386">
      <c r="A386" s="34"/>
    </row>
    <row r="387">
      <c r="A387" s="34"/>
    </row>
    <row r="388">
      <c r="A388" s="34"/>
    </row>
    <row r="389">
      <c r="A389" s="34"/>
    </row>
    <row r="390">
      <c r="A390" s="34"/>
    </row>
    <row r="391">
      <c r="A391" s="34"/>
    </row>
    <row r="392">
      <c r="A392" s="34"/>
    </row>
    <row r="393">
      <c r="A393" s="34"/>
    </row>
    <row r="394">
      <c r="A394" s="34"/>
    </row>
    <row r="395">
      <c r="A395" s="34"/>
    </row>
    <row r="396">
      <c r="A396" s="34"/>
    </row>
    <row r="397">
      <c r="A397" s="34"/>
    </row>
    <row r="398">
      <c r="A398" s="34"/>
    </row>
    <row r="399">
      <c r="A399" s="34"/>
    </row>
    <row r="400">
      <c r="A400" s="34"/>
    </row>
    <row r="401">
      <c r="A401" s="34"/>
    </row>
    <row r="402">
      <c r="A402" s="34"/>
    </row>
    <row r="403">
      <c r="A403" s="34"/>
    </row>
    <row r="404">
      <c r="A404" s="34"/>
    </row>
    <row r="405">
      <c r="A405" s="34"/>
    </row>
    <row r="406">
      <c r="A406" s="34"/>
    </row>
    <row r="407">
      <c r="A407" s="34"/>
    </row>
    <row r="408">
      <c r="A408" s="34"/>
    </row>
    <row r="409">
      <c r="A409" s="34"/>
    </row>
    <row r="410">
      <c r="A410" s="34"/>
    </row>
    <row r="411">
      <c r="A411" s="34"/>
    </row>
    <row r="412">
      <c r="A412" s="34"/>
    </row>
    <row r="413">
      <c r="A413" s="34"/>
    </row>
    <row r="414">
      <c r="A414" s="34"/>
    </row>
    <row r="415">
      <c r="A415" s="34"/>
    </row>
    <row r="416">
      <c r="A416" s="34"/>
    </row>
    <row r="417">
      <c r="A417" s="34"/>
    </row>
    <row r="418">
      <c r="A418" s="34"/>
    </row>
    <row r="419">
      <c r="A419" s="34"/>
    </row>
    <row r="420">
      <c r="A420" s="34"/>
    </row>
    <row r="421">
      <c r="A421" s="34"/>
    </row>
    <row r="422">
      <c r="A422" s="34"/>
    </row>
    <row r="423">
      <c r="A423" s="34"/>
    </row>
    <row r="424">
      <c r="A424" s="34"/>
    </row>
    <row r="425">
      <c r="A425" s="34"/>
    </row>
    <row r="426">
      <c r="A426" s="34"/>
    </row>
    <row r="427">
      <c r="A427" s="34"/>
    </row>
    <row r="428">
      <c r="A428" s="34"/>
    </row>
    <row r="429">
      <c r="A429" s="34"/>
    </row>
    <row r="430">
      <c r="A430" s="34"/>
    </row>
    <row r="431">
      <c r="A431" s="34"/>
    </row>
    <row r="432">
      <c r="A432" s="34"/>
    </row>
    <row r="433">
      <c r="A433" s="34"/>
    </row>
    <row r="434">
      <c r="A434" s="34"/>
    </row>
    <row r="435">
      <c r="A435" s="34"/>
    </row>
    <row r="436">
      <c r="A436" s="34"/>
    </row>
    <row r="437">
      <c r="A437" s="34"/>
    </row>
    <row r="438">
      <c r="A438" s="34"/>
    </row>
    <row r="439">
      <c r="A439" s="34"/>
    </row>
    <row r="440">
      <c r="A440" s="34"/>
    </row>
    <row r="441">
      <c r="A441" s="34"/>
    </row>
    <row r="442">
      <c r="A442" s="34"/>
    </row>
    <row r="443">
      <c r="A443" s="34"/>
    </row>
    <row r="444">
      <c r="A444" s="34"/>
    </row>
    <row r="445">
      <c r="A445" s="34"/>
    </row>
    <row r="446">
      <c r="A446" s="34"/>
    </row>
    <row r="447">
      <c r="A447" s="34"/>
    </row>
    <row r="448">
      <c r="A448" s="34"/>
    </row>
    <row r="449">
      <c r="A449" s="34"/>
    </row>
    <row r="450">
      <c r="A450" s="34"/>
    </row>
    <row r="451">
      <c r="A451" s="34"/>
    </row>
    <row r="452">
      <c r="A452" s="34"/>
    </row>
    <row r="453">
      <c r="A453" s="34"/>
    </row>
    <row r="454">
      <c r="A454" s="34"/>
    </row>
    <row r="455">
      <c r="A455" s="34"/>
    </row>
    <row r="456">
      <c r="A456" s="34"/>
    </row>
    <row r="457">
      <c r="A457" s="34"/>
    </row>
    <row r="458">
      <c r="A458" s="34"/>
    </row>
    <row r="459">
      <c r="A459" s="34"/>
    </row>
    <row r="460">
      <c r="A460" s="34"/>
    </row>
    <row r="461">
      <c r="A461" s="34"/>
    </row>
    <row r="462">
      <c r="A462" s="34"/>
    </row>
    <row r="463">
      <c r="A463" s="34"/>
    </row>
    <row r="464">
      <c r="A464" s="34"/>
    </row>
    <row r="465">
      <c r="A465" s="34"/>
    </row>
    <row r="466">
      <c r="A466" s="34"/>
    </row>
    <row r="467">
      <c r="A467" s="34"/>
    </row>
    <row r="468">
      <c r="A468" s="34"/>
    </row>
    <row r="469">
      <c r="A469" s="34"/>
    </row>
    <row r="470">
      <c r="A470" s="34"/>
    </row>
    <row r="471">
      <c r="A471" s="34"/>
    </row>
    <row r="472">
      <c r="A472" s="34"/>
    </row>
    <row r="473">
      <c r="A473" s="34"/>
    </row>
    <row r="474">
      <c r="A474" s="34"/>
    </row>
    <row r="475">
      <c r="A475" s="34"/>
    </row>
    <row r="476">
      <c r="A476" s="34"/>
    </row>
    <row r="477">
      <c r="A477" s="34"/>
    </row>
    <row r="478">
      <c r="A478" s="34"/>
    </row>
    <row r="479">
      <c r="A479" s="34"/>
    </row>
    <row r="480">
      <c r="A480" s="34"/>
    </row>
    <row r="481">
      <c r="A481" s="34"/>
    </row>
    <row r="482">
      <c r="A482" s="34"/>
    </row>
    <row r="483">
      <c r="A483" s="34"/>
    </row>
    <row r="484">
      <c r="A484" s="34"/>
    </row>
    <row r="485">
      <c r="A485" s="34"/>
    </row>
    <row r="486">
      <c r="A486" s="34"/>
    </row>
    <row r="487">
      <c r="A487" s="34"/>
    </row>
    <row r="488">
      <c r="A488" s="34"/>
    </row>
    <row r="489">
      <c r="A489" s="34"/>
    </row>
    <row r="490">
      <c r="A490" s="34"/>
    </row>
    <row r="491">
      <c r="A491" s="34"/>
    </row>
    <row r="492">
      <c r="A492" s="34"/>
    </row>
    <row r="493">
      <c r="A493" s="34"/>
    </row>
    <row r="494">
      <c r="A494" s="34"/>
    </row>
    <row r="495">
      <c r="A495" s="34"/>
    </row>
    <row r="496">
      <c r="A496" s="34"/>
    </row>
    <row r="497">
      <c r="A497" s="34"/>
    </row>
    <row r="498">
      <c r="A498" s="34"/>
    </row>
    <row r="499">
      <c r="A499" s="34"/>
    </row>
    <row r="500">
      <c r="A500" s="34"/>
    </row>
    <row r="501">
      <c r="A501" s="34"/>
    </row>
    <row r="502">
      <c r="A502" s="34"/>
    </row>
    <row r="503">
      <c r="A503" s="34"/>
    </row>
    <row r="504">
      <c r="A504" s="34"/>
    </row>
    <row r="505">
      <c r="A505" s="34"/>
    </row>
    <row r="506">
      <c r="A506" s="34"/>
    </row>
    <row r="507">
      <c r="A507" s="34"/>
    </row>
    <row r="508">
      <c r="A508" s="34"/>
    </row>
    <row r="509">
      <c r="A509" s="34"/>
    </row>
    <row r="510">
      <c r="A510" s="34"/>
    </row>
    <row r="511">
      <c r="A511" s="34"/>
    </row>
    <row r="512">
      <c r="A512" s="34"/>
    </row>
    <row r="513">
      <c r="A513" s="34"/>
    </row>
    <row r="514">
      <c r="A514" s="34"/>
    </row>
    <row r="515">
      <c r="A515" s="34"/>
    </row>
    <row r="516">
      <c r="A516" s="34"/>
    </row>
    <row r="517">
      <c r="A517" s="34"/>
    </row>
    <row r="518">
      <c r="A518" s="34"/>
    </row>
    <row r="519">
      <c r="A519" s="34"/>
    </row>
    <row r="520">
      <c r="A520" s="34"/>
    </row>
    <row r="521">
      <c r="A521" s="34"/>
    </row>
    <row r="522">
      <c r="A522" s="34"/>
    </row>
    <row r="523">
      <c r="A523" s="34"/>
    </row>
    <row r="524">
      <c r="A524" s="34"/>
    </row>
    <row r="525">
      <c r="A525" s="34"/>
    </row>
    <row r="526">
      <c r="A526" s="34"/>
    </row>
    <row r="527">
      <c r="A527" s="34"/>
    </row>
    <row r="528">
      <c r="A528" s="34"/>
    </row>
    <row r="529">
      <c r="A529" s="34"/>
    </row>
    <row r="530">
      <c r="A530" s="34"/>
    </row>
    <row r="531">
      <c r="A531" s="34"/>
    </row>
    <row r="532">
      <c r="A532" s="34"/>
    </row>
    <row r="533">
      <c r="A533" s="34"/>
    </row>
    <row r="534">
      <c r="A534" s="34"/>
    </row>
    <row r="535">
      <c r="A535" s="34"/>
    </row>
    <row r="536">
      <c r="A536" s="34"/>
    </row>
    <row r="537">
      <c r="A537" s="34"/>
    </row>
    <row r="538">
      <c r="A538" s="34"/>
    </row>
    <row r="539">
      <c r="A539" s="34"/>
    </row>
    <row r="540">
      <c r="A540" s="34"/>
    </row>
    <row r="541">
      <c r="A541" s="34"/>
    </row>
    <row r="542">
      <c r="A542" s="34"/>
    </row>
    <row r="543">
      <c r="A543" s="34"/>
    </row>
    <row r="544">
      <c r="A544" s="34"/>
    </row>
    <row r="545">
      <c r="A545" s="34"/>
    </row>
    <row r="546">
      <c r="A546" s="34"/>
    </row>
    <row r="547">
      <c r="A547" s="34"/>
    </row>
    <row r="548">
      <c r="A548" s="34"/>
    </row>
    <row r="549">
      <c r="A549" s="34"/>
    </row>
    <row r="550">
      <c r="A550" s="34"/>
    </row>
    <row r="551">
      <c r="A551" s="34"/>
    </row>
    <row r="552">
      <c r="A552" s="34"/>
    </row>
    <row r="553">
      <c r="A553" s="34"/>
    </row>
    <row r="554">
      <c r="A554" s="34"/>
    </row>
    <row r="555">
      <c r="A555" s="34"/>
    </row>
    <row r="556">
      <c r="A556" s="34"/>
    </row>
    <row r="557">
      <c r="A557" s="34"/>
    </row>
    <row r="558">
      <c r="A558" s="34"/>
    </row>
    <row r="559">
      <c r="A559" s="34"/>
    </row>
    <row r="560">
      <c r="A560" s="34"/>
    </row>
    <row r="561">
      <c r="A561" s="34"/>
    </row>
    <row r="562">
      <c r="A562" s="34"/>
    </row>
    <row r="563">
      <c r="A563" s="34"/>
    </row>
    <row r="564">
      <c r="A564" s="34"/>
    </row>
    <row r="565">
      <c r="A565" s="34"/>
    </row>
    <row r="566">
      <c r="A566" s="34"/>
    </row>
    <row r="567">
      <c r="A567" s="34"/>
    </row>
    <row r="568">
      <c r="A568" s="34"/>
    </row>
    <row r="569">
      <c r="A569" s="34"/>
    </row>
    <row r="570">
      <c r="A570" s="34"/>
    </row>
    <row r="571">
      <c r="A571" s="34"/>
    </row>
    <row r="572">
      <c r="A572" s="34"/>
    </row>
    <row r="573">
      <c r="A573" s="34"/>
    </row>
    <row r="574">
      <c r="A574" s="34"/>
    </row>
    <row r="575">
      <c r="A575" s="34"/>
    </row>
    <row r="576">
      <c r="A576" s="34"/>
    </row>
    <row r="577">
      <c r="A577" s="34"/>
    </row>
    <row r="578">
      <c r="A578" s="34"/>
    </row>
    <row r="579">
      <c r="A579" s="34"/>
    </row>
    <row r="580">
      <c r="A580" s="34"/>
    </row>
    <row r="581">
      <c r="A581" s="34"/>
    </row>
    <row r="582">
      <c r="A582" s="34"/>
    </row>
    <row r="583">
      <c r="A583" s="34"/>
    </row>
    <row r="584">
      <c r="A584" s="34"/>
    </row>
    <row r="585">
      <c r="A585" s="34"/>
    </row>
    <row r="586">
      <c r="A586" s="34"/>
    </row>
    <row r="587">
      <c r="A587" s="34"/>
    </row>
    <row r="588">
      <c r="A588" s="34"/>
    </row>
    <row r="589">
      <c r="A589" s="34"/>
    </row>
    <row r="590">
      <c r="A590" s="34"/>
    </row>
    <row r="591">
      <c r="A591" s="34"/>
    </row>
    <row r="592">
      <c r="A592" s="34"/>
    </row>
    <row r="593">
      <c r="A593" s="34"/>
    </row>
    <row r="594">
      <c r="A594" s="34"/>
    </row>
    <row r="595">
      <c r="A595" s="34"/>
    </row>
    <row r="596">
      <c r="A596" s="34"/>
    </row>
    <row r="597">
      <c r="A597" s="34"/>
    </row>
    <row r="598">
      <c r="A598" s="34"/>
    </row>
    <row r="599">
      <c r="A599" s="34"/>
    </row>
    <row r="600">
      <c r="A600" s="34"/>
    </row>
    <row r="601">
      <c r="A601" s="34"/>
    </row>
    <row r="602">
      <c r="A602" s="34"/>
    </row>
    <row r="603">
      <c r="A603" s="34"/>
    </row>
    <row r="604">
      <c r="A604" s="34"/>
    </row>
    <row r="605">
      <c r="A605" s="34"/>
    </row>
    <row r="606">
      <c r="A606" s="34"/>
    </row>
    <row r="607">
      <c r="A607" s="34"/>
    </row>
    <row r="608">
      <c r="A608" s="34"/>
    </row>
    <row r="609">
      <c r="A609" s="34"/>
    </row>
    <row r="610">
      <c r="A610" s="34"/>
    </row>
    <row r="611">
      <c r="A611" s="34"/>
    </row>
    <row r="612">
      <c r="A612" s="34"/>
    </row>
    <row r="613">
      <c r="A613" s="34"/>
    </row>
    <row r="614">
      <c r="A614" s="34"/>
    </row>
    <row r="615">
      <c r="A615" s="34"/>
    </row>
    <row r="616">
      <c r="A616" s="34"/>
    </row>
    <row r="617">
      <c r="A617" s="34"/>
    </row>
    <row r="618">
      <c r="A618" s="34"/>
    </row>
    <row r="619">
      <c r="A619" s="34"/>
    </row>
    <row r="620">
      <c r="A620" s="34"/>
    </row>
    <row r="621">
      <c r="A621" s="34"/>
    </row>
    <row r="622">
      <c r="A622" s="34"/>
    </row>
    <row r="623">
      <c r="A623" s="34"/>
    </row>
    <row r="624">
      <c r="A624" s="34"/>
    </row>
    <row r="625">
      <c r="A625" s="34"/>
    </row>
    <row r="626">
      <c r="A626" s="34"/>
    </row>
    <row r="627">
      <c r="A627" s="34"/>
    </row>
    <row r="628">
      <c r="A628" s="34"/>
    </row>
    <row r="629">
      <c r="A629" s="34"/>
    </row>
    <row r="630">
      <c r="A630" s="34"/>
    </row>
    <row r="631">
      <c r="A631" s="34"/>
    </row>
    <row r="632">
      <c r="A632" s="34"/>
    </row>
    <row r="633">
      <c r="A633" s="34"/>
    </row>
    <row r="634">
      <c r="A634" s="34"/>
    </row>
    <row r="635">
      <c r="A635" s="34"/>
    </row>
    <row r="636">
      <c r="A636" s="34"/>
    </row>
    <row r="637">
      <c r="A637" s="34"/>
    </row>
    <row r="638">
      <c r="A638" s="34"/>
    </row>
    <row r="639">
      <c r="A639" s="34"/>
    </row>
    <row r="640">
      <c r="A640" s="34"/>
    </row>
    <row r="641">
      <c r="A641" s="34"/>
    </row>
    <row r="642">
      <c r="A642" s="34"/>
    </row>
    <row r="643">
      <c r="A643" s="34"/>
    </row>
    <row r="644">
      <c r="A644" s="34"/>
    </row>
    <row r="645">
      <c r="A645" s="34"/>
    </row>
    <row r="646">
      <c r="A646" s="34"/>
    </row>
    <row r="647">
      <c r="A647" s="34"/>
    </row>
    <row r="648">
      <c r="A648" s="34"/>
    </row>
    <row r="649">
      <c r="A649" s="34"/>
    </row>
    <row r="650">
      <c r="A650" s="34"/>
    </row>
    <row r="651">
      <c r="A651" s="34"/>
    </row>
    <row r="652">
      <c r="A652" s="34"/>
    </row>
    <row r="653">
      <c r="A653" s="34"/>
    </row>
    <row r="654">
      <c r="A654" s="34"/>
    </row>
    <row r="655">
      <c r="A655" s="34"/>
    </row>
    <row r="656">
      <c r="A656" s="34"/>
    </row>
    <row r="657">
      <c r="A657" s="34"/>
    </row>
    <row r="658">
      <c r="A658" s="34"/>
    </row>
    <row r="659">
      <c r="A659" s="34"/>
    </row>
    <row r="660">
      <c r="A660" s="34"/>
    </row>
    <row r="661">
      <c r="A661" s="34"/>
    </row>
    <row r="662">
      <c r="A662" s="34"/>
    </row>
    <row r="663">
      <c r="A663" s="34"/>
    </row>
    <row r="664">
      <c r="A664" s="34"/>
    </row>
    <row r="665">
      <c r="A665" s="34"/>
    </row>
    <row r="666">
      <c r="A666" s="34"/>
    </row>
    <row r="667">
      <c r="A667" s="34"/>
    </row>
    <row r="668">
      <c r="A668" s="34"/>
    </row>
    <row r="669">
      <c r="A669" s="34"/>
    </row>
    <row r="670">
      <c r="A670" s="34"/>
    </row>
    <row r="671">
      <c r="A671" s="34"/>
    </row>
    <row r="672">
      <c r="A672" s="34"/>
    </row>
    <row r="673">
      <c r="A673" s="34"/>
    </row>
    <row r="674">
      <c r="A674" s="34"/>
    </row>
    <row r="675">
      <c r="A675" s="34"/>
    </row>
    <row r="676">
      <c r="A676" s="34"/>
    </row>
    <row r="677">
      <c r="A677" s="34"/>
    </row>
    <row r="678">
      <c r="A678" s="34"/>
    </row>
    <row r="679">
      <c r="A679" s="34"/>
    </row>
    <row r="680">
      <c r="A680" s="34"/>
    </row>
    <row r="681">
      <c r="A681" s="34"/>
    </row>
    <row r="682">
      <c r="A682" s="34"/>
    </row>
    <row r="683">
      <c r="A683" s="34"/>
    </row>
    <row r="684">
      <c r="A684" s="34"/>
    </row>
    <row r="685">
      <c r="A685" s="34"/>
    </row>
    <row r="686">
      <c r="A686" s="34"/>
    </row>
    <row r="687">
      <c r="A687" s="34"/>
    </row>
    <row r="688">
      <c r="A688" s="34"/>
    </row>
    <row r="689">
      <c r="A689" s="34"/>
    </row>
    <row r="690">
      <c r="A690" s="34"/>
    </row>
    <row r="691">
      <c r="A691" s="34"/>
    </row>
    <row r="692">
      <c r="A692" s="34"/>
    </row>
    <row r="693">
      <c r="A693" s="34"/>
    </row>
    <row r="694">
      <c r="A694" s="34"/>
    </row>
    <row r="695">
      <c r="A695" s="34"/>
    </row>
    <row r="696">
      <c r="A696" s="34"/>
    </row>
    <row r="697">
      <c r="A697" s="34"/>
    </row>
    <row r="698">
      <c r="A698" s="34"/>
    </row>
    <row r="699">
      <c r="A699" s="34"/>
    </row>
    <row r="700">
      <c r="A700" s="34"/>
    </row>
    <row r="701">
      <c r="A701" s="34"/>
    </row>
    <row r="702">
      <c r="A702" s="34"/>
    </row>
    <row r="703">
      <c r="A703" s="34"/>
    </row>
    <row r="704">
      <c r="A704" s="34"/>
    </row>
    <row r="705">
      <c r="A705" s="34"/>
    </row>
    <row r="706">
      <c r="A706" s="34"/>
    </row>
    <row r="707">
      <c r="A707" s="34"/>
    </row>
    <row r="708">
      <c r="A708" s="34"/>
    </row>
    <row r="709">
      <c r="A709" s="34"/>
    </row>
    <row r="710">
      <c r="A710" s="34"/>
    </row>
    <row r="711">
      <c r="A711" s="34"/>
    </row>
    <row r="712">
      <c r="A712" s="34"/>
    </row>
    <row r="713">
      <c r="A713" s="34"/>
    </row>
    <row r="714">
      <c r="A714" s="34"/>
    </row>
    <row r="715">
      <c r="A715" s="34"/>
    </row>
    <row r="716">
      <c r="A716" s="34"/>
    </row>
    <row r="717">
      <c r="A717" s="34"/>
    </row>
    <row r="718">
      <c r="A718" s="34"/>
    </row>
    <row r="719">
      <c r="A719" s="34"/>
    </row>
    <row r="720">
      <c r="A720" s="34"/>
    </row>
    <row r="721">
      <c r="A721" s="34"/>
    </row>
    <row r="722">
      <c r="A722" s="34"/>
    </row>
    <row r="723">
      <c r="A723" s="34"/>
    </row>
    <row r="724">
      <c r="A724" s="34"/>
    </row>
    <row r="725">
      <c r="A725" s="34"/>
    </row>
    <row r="726">
      <c r="A726" s="34"/>
    </row>
    <row r="727">
      <c r="A727" s="34"/>
    </row>
    <row r="728">
      <c r="A728" s="34"/>
    </row>
    <row r="729">
      <c r="A729" s="34"/>
    </row>
    <row r="730">
      <c r="A730" s="34"/>
    </row>
    <row r="731">
      <c r="A731" s="34"/>
    </row>
    <row r="732">
      <c r="A732" s="34"/>
    </row>
    <row r="733">
      <c r="A733" s="34"/>
    </row>
    <row r="734">
      <c r="A734" s="34"/>
    </row>
    <row r="735">
      <c r="A735" s="34"/>
    </row>
    <row r="736">
      <c r="A736" s="34"/>
    </row>
    <row r="737">
      <c r="A737" s="34"/>
    </row>
    <row r="738">
      <c r="A738" s="34"/>
    </row>
    <row r="739">
      <c r="A739" s="34"/>
    </row>
    <row r="740">
      <c r="A740" s="34"/>
    </row>
    <row r="741">
      <c r="A741" s="34"/>
    </row>
    <row r="742">
      <c r="A742" s="34"/>
    </row>
    <row r="743">
      <c r="A743" s="34"/>
    </row>
    <row r="744">
      <c r="A744" s="34"/>
    </row>
    <row r="745">
      <c r="A745" s="34"/>
    </row>
    <row r="746">
      <c r="A746" s="34"/>
    </row>
    <row r="747">
      <c r="A747" s="34"/>
    </row>
    <row r="748">
      <c r="A748" s="34"/>
    </row>
    <row r="749">
      <c r="A749" s="34"/>
    </row>
    <row r="750">
      <c r="A750" s="34"/>
    </row>
    <row r="751">
      <c r="A751" s="34"/>
    </row>
    <row r="752">
      <c r="A752" s="34"/>
    </row>
    <row r="753">
      <c r="A753" s="34"/>
    </row>
    <row r="754">
      <c r="A754" s="34"/>
    </row>
    <row r="755">
      <c r="A755" s="34"/>
    </row>
    <row r="756">
      <c r="A756" s="34"/>
    </row>
    <row r="757">
      <c r="A757" s="34"/>
    </row>
    <row r="758">
      <c r="A758" s="34"/>
    </row>
    <row r="759">
      <c r="A759" s="34"/>
    </row>
    <row r="760">
      <c r="A760" s="34"/>
    </row>
    <row r="761">
      <c r="A761" s="34"/>
    </row>
    <row r="762">
      <c r="A762" s="34"/>
    </row>
    <row r="763">
      <c r="A763" s="34"/>
    </row>
    <row r="764">
      <c r="A764" s="34"/>
    </row>
    <row r="765">
      <c r="A765" s="34"/>
    </row>
    <row r="766">
      <c r="A766" s="34"/>
    </row>
    <row r="767">
      <c r="A767" s="34"/>
    </row>
    <row r="768">
      <c r="A768" s="34"/>
    </row>
    <row r="769">
      <c r="A769" s="34"/>
    </row>
    <row r="770">
      <c r="A770" s="34"/>
    </row>
    <row r="771">
      <c r="A771" s="34"/>
    </row>
    <row r="772">
      <c r="A772" s="34"/>
    </row>
    <row r="773">
      <c r="A773" s="34"/>
    </row>
    <row r="774">
      <c r="A774" s="34"/>
    </row>
    <row r="775">
      <c r="A775" s="34"/>
    </row>
    <row r="776">
      <c r="A776" s="34"/>
    </row>
    <row r="777">
      <c r="A777" s="34"/>
    </row>
    <row r="778">
      <c r="A778" s="34"/>
    </row>
    <row r="779">
      <c r="A779" s="34"/>
    </row>
    <row r="780">
      <c r="A780" s="34"/>
    </row>
    <row r="781">
      <c r="A781" s="34"/>
    </row>
    <row r="782">
      <c r="A782" s="34"/>
    </row>
    <row r="783">
      <c r="A783" s="34"/>
    </row>
    <row r="784">
      <c r="A784" s="34"/>
    </row>
    <row r="785">
      <c r="A785" s="34"/>
    </row>
    <row r="786">
      <c r="A786" s="34"/>
    </row>
    <row r="787">
      <c r="A787" s="34"/>
    </row>
    <row r="788">
      <c r="A788" s="34"/>
    </row>
    <row r="789">
      <c r="A789" s="34"/>
    </row>
    <row r="790">
      <c r="A790" s="34"/>
    </row>
    <row r="791">
      <c r="A791" s="34"/>
    </row>
    <row r="792">
      <c r="A792" s="34"/>
    </row>
    <row r="793">
      <c r="A793" s="34"/>
    </row>
    <row r="794">
      <c r="A794" s="34"/>
    </row>
    <row r="795">
      <c r="A795" s="34"/>
    </row>
    <row r="796">
      <c r="A796" s="34"/>
    </row>
    <row r="797">
      <c r="A797" s="34"/>
    </row>
    <row r="798">
      <c r="A798" s="34"/>
    </row>
    <row r="799">
      <c r="A799" s="34"/>
    </row>
    <row r="800">
      <c r="A800" s="34"/>
    </row>
    <row r="801">
      <c r="A801" s="34"/>
    </row>
    <row r="802">
      <c r="A802" s="34"/>
    </row>
    <row r="803">
      <c r="A803" s="34"/>
    </row>
    <row r="804">
      <c r="A804" s="34"/>
    </row>
    <row r="805">
      <c r="A805" s="34"/>
    </row>
    <row r="806">
      <c r="A806" s="34"/>
    </row>
    <row r="807">
      <c r="A807" s="34"/>
    </row>
    <row r="808">
      <c r="A808" s="34"/>
    </row>
    <row r="809">
      <c r="A809" s="34"/>
    </row>
    <row r="810">
      <c r="A810" s="34"/>
    </row>
    <row r="811">
      <c r="A811" s="34"/>
    </row>
    <row r="812">
      <c r="A812" s="34"/>
    </row>
    <row r="813">
      <c r="A813" s="34"/>
    </row>
    <row r="814">
      <c r="A814" s="34"/>
    </row>
    <row r="815">
      <c r="A815" s="34"/>
    </row>
    <row r="816">
      <c r="A816" s="34"/>
    </row>
    <row r="817">
      <c r="A817" s="34"/>
    </row>
    <row r="818">
      <c r="A818" s="34"/>
    </row>
    <row r="819">
      <c r="A819" s="34"/>
    </row>
    <row r="820">
      <c r="A820" s="34"/>
    </row>
    <row r="821">
      <c r="A821" s="34"/>
    </row>
    <row r="822">
      <c r="A822" s="34"/>
    </row>
    <row r="823">
      <c r="A823" s="34"/>
    </row>
    <row r="824">
      <c r="A824" s="34"/>
    </row>
    <row r="825">
      <c r="A825" s="34"/>
    </row>
    <row r="826">
      <c r="A826" s="34"/>
    </row>
    <row r="827">
      <c r="A827" s="34"/>
    </row>
    <row r="828">
      <c r="A828" s="34"/>
    </row>
    <row r="829">
      <c r="A829" s="34"/>
    </row>
    <row r="830">
      <c r="A830" s="34"/>
    </row>
    <row r="831">
      <c r="A831" s="34"/>
    </row>
    <row r="832">
      <c r="A832" s="34"/>
    </row>
    <row r="833">
      <c r="A833" s="34"/>
    </row>
    <row r="834">
      <c r="A834" s="34"/>
    </row>
    <row r="835">
      <c r="A835" s="34"/>
    </row>
    <row r="836">
      <c r="A836" s="34"/>
    </row>
    <row r="837">
      <c r="A837" s="34"/>
    </row>
    <row r="838">
      <c r="A838" s="34"/>
    </row>
    <row r="839">
      <c r="A839" s="34"/>
    </row>
    <row r="840">
      <c r="A840" s="34"/>
    </row>
    <row r="841">
      <c r="A841" s="34"/>
    </row>
    <row r="842">
      <c r="A842" s="34"/>
    </row>
    <row r="843">
      <c r="A843" s="34"/>
    </row>
    <row r="844">
      <c r="A844" s="34"/>
    </row>
    <row r="845">
      <c r="A845" s="34"/>
    </row>
    <row r="846">
      <c r="A846" s="34"/>
    </row>
    <row r="847">
      <c r="A847" s="34"/>
    </row>
    <row r="848">
      <c r="A848" s="34"/>
    </row>
    <row r="849">
      <c r="A849" s="34"/>
    </row>
    <row r="850">
      <c r="A850" s="34"/>
    </row>
    <row r="851">
      <c r="A851" s="34"/>
    </row>
    <row r="852">
      <c r="A852" s="34"/>
    </row>
    <row r="853">
      <c r="A853" s="34"/>
    </row>
    <row r="854">
      <c r="A854" s="34"/>
    </row>
    <row r="855">
      <c r="A855" s="34"/>
    </row>
    <row r="856">
      <c r="A856" s="34"/>
    </row>
    <row r="857">
      <c r="A857" s="34"/>
    </row>
    <row r="858">
      <c r="A858" s="34"/>
    </row>
    <row r="859">
      <c r="A859" s="34"/>
    </row>
    <row r="860">
      <c r="A860" s="34"/>
    </row>
    <row r="861">
      <c r="A861" s="34"/>
    </row>
    <row r="862">
      <c r="A862" s="34"/>
    </row>
    <row r="863">
      <c r="A863" s="34"/>
    </row>
    <row r="864">
      <c r="A864" s="34"/>
    </row>
    <row r="865">
      <c r="A865" s="34"/>
    </row>
    <row r="866">
      <c r="A866" s="34"/>
    </row>
    <row r="867">
      <c r="A867" s="34"/>
    </row>
    <row r="868">
      <c r="A868" s="34"/>
    </row>
    <row r="869">
      <c r="A869" s="34"/>
    </row>
    <row r="870">
      <c r="A870" s="34"/>
    </row>
    <row r="871">
      <c r="A871" s="34"/>
    </row>
    <row r="872">
      <c r="A872" s="34"/>
    </row>
    <row r="873">
      <c r="A873" s="34"/>
    </row>
    <row r="874">
      <c r="A874" s="34"/>
    </row>
    <row r="875">
      <c r="A875" s="34"/>
    </row>
    <row r="876">
      <c r="A876" s="34"/>
    </row>
    <row r="877">
      <c r="A877" s="34"/>
    </row>
    <row r="878">
      <c r="A878" s="34"/>
    </row>
    <row r="879">
      <c r="A879" s="34"/>
    </row>
    <row r="880">
      <c r="A880" s="34"/>
    </row>
    <row r="881">
      <c r="A881" s="34"/>
    </row>
    <row r="882">
      <c r="A882" s="34"/>
    </row>
    <row r="883">
      <c r="A883" s="34"/>
    </row>
    <row r="884">
      <c r="A884" s="34"/>
    </row>
    <row r="885">
      <c r="A885" s="34"/>
    </row>
    <row r="886">
      <c r="A886" s="34"/>
    </row>
    <row r="887">
      <c r="A887" s="34"/>
    </row>
    <row r="888">
      <c r="A888" s="34"/>
    </row>
    <row r="889">
      <c r="A889" s="34"/>
    </row>
    <row r="890">
      <c r="A890" s="34"/>
    </row>
    <row r="891">
      <c r="A891" s="34"/>
    </row>
    <row r="892">
      <c r="A892" s="34"/>
    </row>
    <row r="893">
      <c r="A893" s="34"/>
    </row>
    <row r="894">
      <c r="A894" s="34"/>
    </row>
    <row r="895">
      <c r="A895" s="34"/>
    </row>
    <row r="896">
      <c r="A896" s="34"/>
    </row>
    <row r="897">
      <c r="A897" s="34"/>
    </row>
    <row r="898">
      <c r="A898" s="34"/>
    </row>
    <row r="899">
      <c r="A899" s="34"/>
    </row>
    <row r="900">
      <c r="A900" s="34"/>
    </row>
    <row r="901">
      <c r="A901" s="34"/>
    </row>
    <row r="902">
      <c r="A902" s="34"/>
    </row>
    <row r="903">
      <c r="A903" s="34"/>
    </row>
    <row r="904">
      <c r="A904" s="34"/>
    </row>
    <row r="905">
      <c r="A905" s="34"/>
    </row>
    <row r="906">
      <c r="A906" s="34"/>
    </row>
    <row r="907">
      <c r="A907" s="34"/>
    </row>
    <row r="908">
      <c r="A908" s="34"/>
    </row>
    <row r="909">
      <c r="A909" s="34"/>
    </row>
    <row r="910">
      <c r="A910" s="34"/>
    </row>
    <row r="911">
      <c r="A911" s="34"/>
    </row>
    <row r="912">
      <c r="A912" s="34"/>
    </row>
    <row r="913">
      <c r="A913" s="34"/>
    </row>
    <row r="914">
      <c r="A914" s="34"/>
    </row>
    <row r="915">
      <c r="A915" s="34"/>
    </row>
    <row r="916">
      <c r="A916" s="34"/>
    </row>
    <row r="917">
      <c r="A917" s="34"/>
    </row>
    <row r="918">
      <c r="A918" s="34"/>
    </row>
    <row r="919">
      <c r="A919" s="34"/>
    </row>
    <row r="920">
      <c r="A920" s="34"/>
    </row>
    <row r="921">
      <c r="A921" s="34"/>
    </row>
    <row r="922">
      <c r="A922" s="34"/>
    </row>
    <row r="923">
      <c r="A923" s="34"/>
    </row>
    <row r="924">
      <c r="A924" s="34"/>
    </row>
    <row r="925">
      <c r="A925" s="34"/>
    </row>
    <row r="926">
      <c r="A926" s="34"/>
    </row>
    <row r="927">
      <c r="A927" s="34"/>
    </row>
    <row r="928">
      <c r="A928" s="34"/>
    </row>
    <row r="929">
      <c r="A929" s="34"/>
    </row>
    <row r="930">
      <c r="A930" s="34"/>
    </row>
    <row r="931">
      <c r="A931" s="34"/>
    </row>
    <row r="932">
      <c r="A932" s="34"/>
    </row>
    <row r="933">
      <c r="A933" s="34"/>
    </row>
    <row r="934">
      <c r="A934" s="34"/>
    </row>
    <row r="935">
      <c r="A935" s="34"/>
    </row>
    <row r="936">
      <c r="A936" s="34"/>
    </row>
    <row r="937">
      <c r="A937" s="34"/>
    </row>
    <row r="938">
      <c r="A938" s="34"/>
    </row>
    <row r="939">
      <c r="A939" s="34"/>
    </row>
    <row r="940">
      <c r="A940" s="34"/>
    </row>
    <row r="941">
      <c r="A941" s="34"/>
    </row>
    <row r="942">
      <c r="A942" s="34"/>
    </row>
    <row r="943">
      <c r="A943" s="34"/>
    </row>
    <row r="944">
      <c r="A944" s="34"/>
    </row>
    <row r="945">
      <c r="A945" s="34"/>
    </row>
    <row r="946">
      <c r="A946" s="34"/>
    </row>
    <row r="947">
      <c r="A947" s="34"/>
    </row>
    <row r="948">
      <c r="A948" s="34"/>
    </row>
    <row r="949">
      <c r="A949" s="34"/>
    </row>
    <row r="950">
      <c r="A950" s="34"/>
    </row>
    <row r="951">
      <c r="A951" s="34"/>
    </row>
    <row r="952">
      <c r="A952" s="34"/>
    </row>
    <row r="953">
      <c r="A953" s="34"/>
    </row>
    <row r="954">
      <c r="A954" s="34"/>
    </row>
    <row r="955">
      <c r="A955" s="34"/>
    </row>
    <row r="956">
      <c r="A956" s="34"/>
    </row>
    <row r="957">
      <c r="A957" s="34"/>
    </row>
    <row r="958">
      <c r="A958" s="34"/>
    </row>
    <row r="959">
      <c r="A959" s="34"/>
    </row>
    <row r="960">
      <c r="A960" s="34"/>
    </row>
    <row r="961">
      <c r="A961" s="34"/>
    </row>
    <row r="962">
      <c r="A962" s="34"/>
    </row>
    <row r="963">
      <c r="A963" s="34"/>
    </row>
    <row r="964">
      <c r="A964" s="34"/>
    </row>
    <row r="965">
      <c r="A965" s="34"/>
    </row>
    <row r="966">
      <c r="A966" s="34"/>
    </row>
    <row r="967">
      <c r="A967" s="34"/>
    </row>
    <row r="968">
      <c r="A968" s="34"/>
    </row>
    <row r="969">
      <c r="A969" s="34"/>
    </row>
    <row r="970">
      <c r="A970" s="34"/>
    </row>
    <row r="971">
      <c r="A971" s="34"/>
    </row>
    <row r="972">
      <c r="A972" s="34"/>
    </row>
    <row r="973">
      <c r="A973" s="34"/>
    </row>
    <row r="974">
      <c r="A974" s="34"/>
    </row>
    <row r="975">
      <c r="A975" s="34"/>
    </row>
    <row r="976">
      <c r="A976" s="34"/>
    </row>
    <row r="977">
      <c r="A977" s="34"/>
    </row>
    <row r="978">
      <c r="A978" s="34"/>
    </row>
    <row r="979">
      <c r="A979" s="34"/>
    </row>
    <row r="980">
      <c r="A980" s="34"/>
    </row>
    <row r="981">
      <c r="A981" s="34"/>
    </row>
    <row r="982">
      <c r="A982" s="34"/>
    </row>
    <row r="983">
      <c r="A983" s="34"/>
    </row>
    <row r="984">
      <c r="A984" s="34"/>
    </row>
    <row r="985">
      <c r="A985" s="34"/>
    </row>
    <row r="986">
      <c r="A986" s="34"/>
    </row>
    <row r="987">
      <c r="A987" s="34"/>
    </row>
    <row r="988">
      <c r="A988" s="34"/>
    </row>
    <row r="989">
      <c r="A989" s="34"/>
    </row>
    <row r="990">
      <c r="A990" s="34"/>
    </row>
    <row r="991">
      <c r="A991" s="34"/>
    </row>
    <row r="992">
      <c r="A992" s="34"/>
    </row>
  </sheetData>
  <autoFilter ref="$B$2:$U$95">
    <filterColumn colId="10">
      <filters>
        <filter val="S"/>
        <filter val="V"/>
      </filters>
    </filterColumn>
  </autoFilter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</hyperlinks>
  <drawing r:id="rId94"/>
</worksheet>
</file>